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xiahanyu/Desktop/"/>
    </mc:Choice>
  </mc:AlternateContent>
  <xr:revisionPtr revIDLastSave="0" documentId="8_{A47CC276-E576-114F-B4F2-72D7A6DD97A0}" xr6:coauthVersionLast="47" xr6:coauthVersionMax="47" xr10:uidLastSave="{00000000-0000-0000-0000-000000000000}"/>
  <bookViews>
    <workbookView xWindow="4400" yWindow="740" windowWidth="25000" windowHeight="15960" tabRatio="500" activeTab="3" xr2:uid="{00000000-000D-0000-FFFF-FFFF00000000}"/>
  </bookViews>
  <sheets>
    <sheet name="任務總覽" sheetId="1" r:id="rId1"/>
    <sheet name="網站診斷" sheetId="2" r:id="rId2"/>
    <sheet name="網站頁面表" sheetId="3" r:id="rId3"/>
    <sheet name="Facebook帖子" sheetId="4" r:id="rId4"/>
    <sheet name="三條觀察"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4" l="1"/>
  <c r="E44" i="4"/>
  <c r="E43" i="4"/>
  <c r="E42" i="4"/>
  <c r="E41" i="4"/>
  <c r="E40" i="4"/>
  <c r="E39" i="4"/>
  <c r="E38" i="4"/>
  <c r="B32" i="3"/>
  <c r="C12" i="1"/>
</calcChain>
</file>

<file path=xl/sharedStrings.xml><?xml version="1.0" encoding="utf-8"?>
<sst xmlns="http://schemas.openxmlformats.org/spreadsheetml/2006/main" count="730" uniqueCount="344">
  <si>
    <t>第 4 週作業：10 月 5 日（一）上課前完成</t>
  </si>
  <si>
    <t>黃色格子由你們填寫；「狀態」用下拉選單選擇。</t>
  </si>
  <si>
    <t>#</t>
  </si>
  <si>
    <t>任務</t>
  </si>
  <si>
    <t>內容</t>
  </si>
  <si>
    <t>負責人</t>
  </si>
  <si>
    <t>狀態</t>
  </si>
  <si>
    <t>備註</t>
  </si>
  <si>
    <t>一</t>
  </si>
  <si>
    <t>TREATS 網站商業模式檢查清單</t>
  </si>
  <si>
    <t>按五個診斷問題檢查網站（見「網站診斷」分頁）；要說明問題「為甚麼」存在，不只列問題</t>
  </si>
  <si>
    <t>全組</t>
  </si>
  <si>
    <t>已完成</t>
  </si>
  <si>
    <t>二-1</t>
  </si>
  <si>
    <t>網站資料收集（2 人）</t>
  </si>
  <si>
    <t>頁面、項目、聯絡途徑、語言、日期；交 WorkBuddy 整理成表（見「網站頁面表」）；至少抽 5 頁核對原網站</t>
  </si>
  <si>
    <t>二-2</t>
  </si>
  <si>
    <t>Facebook 帖子收集（1–2 人）</t>
  </si>
  <si>
    <t>最近 20–30 則帖子，手動抄錄，不准自動抓取（見「Facebook帖子」）；交 WorkBuddy 分類</t>
  </si>
  <si>
    <t>三</t>
  </si>
  <si>
    <t>寫三條觀察</t>
  </si>
  <si>
    <t>參與者網絡、編碼化、一致性（見「三條觀察」）；存進小組文件夾</t>
  </si>
  <si>
    <t>四</t>
  </si>
  <si>
    <t>閱讀 Wijnhoven 第 4 章</t>
  </si>
  <si>
    <t>價值鏈、價值商店、價值網絡</t>
  </si>
  <si>
    <t>個人</t>
  </si>
  <si>
    <t>未開始</t>
  </si>
  <si>
    <t>五</t>
  </si>
  <si>
    <t>帶 Part A 資料上課</t>
  </si>
  <si>
    <t>第 5 週要用來畫旅程圖</t>
  </si>
  <si>
    <t>已完成任務</t>
  </si>
  <si>
    <t>重要日期</t>
  </si>
  <si>
    <t>日期</t>
  </si>
  <si>
    <t>事項</t>
  </si>
  <si>
    <t>詳情</t>
  </si>
  <si>
    <t>10/5（一）</t>
  </si>
  <si>
    <t>第 5 週：服務怎樣運作</t>
  </si>
  <si>
    <t>價值鏈、價值商店、旅程圖；帶 Part A 資料</t>
  </si>
  <si>
    <t>10/12（一）</t>
  </si>
  <si>
    <t>第一次和 TREATS 見面</t>
  </si>
  <si>
    <t>天保民學校，15:50–17:00</t>
  </si>
  <si>
    <t>10/19（一）</t>
  </si>
  <si>
    <t>公眾假期</t>
  </si>
  <si>
    <t>停課</t>
  </si>
  <si>
    <t>10/25（日）</t>
  </si>
  <si>
    <t>作業 1 截止</t>
  </si>
  <si>
    <t>個人作業，佔 30%</t>
  </si>
  <si>
    <t>11/16（一）</t>
  </si>
  <si>
    <t>第二次見面：AI 體驗日</t>
  </si>
  <si>
    <t>浸大，15:30–17:00</t>
  </si>
  <si>
    <t>11/30（一）</t>
  </si>
  <si>
    <t>小組項目展示</t>
  </si>
  <si>
    <t>佔 40%</t>
  </si>
  <si>
    <t>TREATS 網站商業模式檢查清單（作業 1 Part A）</t>
  </si>
  <si>
    <t>列出問題不等於診斷：「可能原因」一欄要說明問題為甚麼存在。所有說法都是待驗證的假設，要有證據。</t>
  </si>
  <si>
    <t>診斷問題</t>
  </si>
  <si>
    <t>對應概念</t>
  </si>
  <si>
    <t>去哪裏看</t>
  </si>
  <si>
    <t>發現</t>
  </si>
  <si>
    <t>證據（頁面／網址）</t>
  </si>
  <si>
    <t>查看日期</t>
  </si>
  <si>
    <t>可能原因（診斷）</t>
  </si>
  <si>
    <t>1</t>
  </si>
  <si>
    <t>網站實際在對誰說話？忽略了誰？</t>
  </si>
  <si>
    <t>參與者網絡</t>
  </si>
  <si>
    <t>首頁、手機第一屏、主選單</t>
  </si>
  <si>
    <t>首頁不以服務特殊兒童及其家長設計</t>
  </si>
  <si>
    <t xml:space="preserve">首頁 https://treats.org.hk/ </t>
  </si>
  <si>
    <t>TREATS主要的服務對象是特殊兒童和他們的照顧著，主要合作對象是學校和其他ngo，但是網站實際上的首頁設計比較偏pr，在於資方對話，忽視了可能對於網站使用不熟練的家長和學生，讓他們更難尋找到服務。</t>
  </si>
  <si>
    <t>2</t>
  </si>
  <si>
    <t>服務寫得夠不夠清楚，陌生人能不能判斷？</t>
  </si>
  <si>
    <t>編碼化與抽象度</t>
  </si>
  <si>
    <t>項目頁：年齡、對象、費用、怎樣參加</t>
  </si>
  <si>
    <t>培訓服務和教育服務共同放在同一個專欄内，只有首頁上方有查詢服務的入口，點開後例如少數族裔專欄内，同時有導師培訓計劃和青少年職業體驗，無法讓家長快速查詢到需要的服務。</t>
  </si>
  <si>
    <t>少數族裔服務：https://treats.org.hk/%e5%b0%91%e6%95%b8%e6%97%8f%e8%a3%94%e6%9c%8d%e5%8b%99/</t>
  </si>
  <si>
    <t>網站設計并非以方便使用爲目的，很多項目和計劃的基本報名要求都沒有直接顯示在網頁上。</t>
  </si>
  <si>
    <t>3</t>
  </si>
  <si>
    <t>家長在決定參加前怎樣判斷？</t>
  </si>
  <si>
    <t>搜尋／體驗／信任</t>
  </si>
  <si>
    <t>決策點附近的信任信號和「試一試」選項</t>
  </si>
  <si>
    <t>沒有單獨頁面方便家長判斷活動是否適配需求。部分頁面有資助方提及、參加者感想引述、大學合作，但沒有教師推薦機制和口碑或評分系統。唯一帶有評分性質的是共融遊樂 Guide app，但這是場地評分并且需要單獨下載。</t>
  </si>
  <si>
    <t>提供共融指數評分的app頁面：https://treats.org.hk/fun-to-go-%e5%85%b1%e8%9e%8d%e9%81%8a%e6%a8%82guide/</t>
  </si>
  <si>
    <t>TREATS 沒有考慮到家長的使用感受，更多是將資訊帶給合作的學校或機構。報名路徑是學校→家長，網站在家長判斷過程中的角色被視為次要。但這意味着獨立發現 TREATS 的家長無法從網站獲得足夠信任信號和實用資訊來做決定。</t>
  </si>
  <si>
    <t>4</t>
  </si>
  <si>
    <t>每類讀者付出後有沒有得到回報？</t>
  </si>
  <si>
    <t>有效性；價值與回報</t>
  </si>
  <si>
    <t>資助方：付出金錢，獲得明確回報（活動報道、機構形象）。企業夥伴：付出時間和金錢，獲得認可。捐款人：付出金錢，獲得多種付款方式引導以及可以減少需要交的稅的説明。但家長：付出注意力，但是沒有得到明確報名路徑以及回覆時間承諾。服務頁沒有查詢表格或報名按鈕，只有一般聯絡頁（電話 2889 1332）。義工頁寫了「做義工」但沒有報名方法和日期。</t>
  </si>
  <si>
    <t>聯絡頁 https://treats.org.hk/treats-contact/ 統計及財政概覽頁 https://treats.org.hk/treats-finances/ 捐款頁 https://treats.org.hk/charity-donation/</t>
  </si>
  <si>
    <t>網站向資助方展示成效和向捐款人收款，而非服務家長。在參與者網絡中，資助方和捐款人得到清晰回報，但家長沒有。這造成缺口：未連接合作學校的家長沒有途徑參與。這也意味着 TREATS 可能錯失了能從家長獲得的回報（口碑傳播、自發參與、家長義工）。</t>
  </si>
  <si>
    <t>5</t>
  </si>
  <si>
    <t>TREATS 能不能長期維持這個網站？</t>
  </si>
  <si>
    <t>價值架構</t>
  </si>
  <si>
    <t>網站資訊不完整且可能過時。網站功能基本正常，但全站頁面沒有一頁顯示最後更新日期，整體可持續性弱信號，存在與 Facebook 不一致的内容，沒有可見的內容治理機制。</t>
  </si>
  <si>
    <t>https://treats.org.hk/treats/</t>
  </si>
  <si>
    <t>TREATS工作人員可能優先更新 Facebook而非網站。節目專用撥款意味着網站在新節目啟動時（有資助方支持）才更新。Facebook 承擔了更多的的實際資訊發佈功能。</t>
  </si>
  <si>
    <t>網站頁面表（WorkBuddy 提取，課件第 40 頁）</t>
  </si>
  <si>
    <t>灰色斜體是示例行；每頁一行。沒寫的資料填「not stated」。「已核對」至少 5 頁要填「是」。</t>
  </si>
  <si>
    <t>頁面標題</t>
  </si>
  <si>
    <t>網址</t>
  </si>
  <si>
    <t>主要對象</t>
  </si>
  <si>
    <t>提供甚麼</t>
  </si>
  <si>
    <t>要讀者做甚麼</t>
  </si>
  <si>
    <t>年齡</t>
  </si>
  <si>
    <t>資格</t>
  </si>
  <si>
    <t>費用</t>
  </si>
  <si>
    <t>報名方法</t>
  </si>
  <si>
    <t>聯絡人</t>
  </si>
  <si>
    <t>信任信號</t>
  </si>
  <si>
    <t>語言版本</t>
  </si>
  <si>
    <t>頁面日期</t>
  </si>
  <si>
    <t>已核對</t>
  </si>
  <si>
    <t>（示例）項目介紹頁</t>
  </si>
  <si>
    <t>https://…</t>
  </si>
  <si>
    <t>家長</t>
  </si>
  <si>
    <t>共融遊戲小組簡介</t>
  </si>
  <si>
    <t>查詢</t>
  </si>
  <si>
    <t>6–12 歲</t>
  </si>
  <si>
    <t>not stated</t>
  </si>
  <si>
    <t>電郵查詢</t>
  </si>
  <si>
    <t>合作夥伴標誌</t>
  </si>
  <si>
    <t>中／英</t>
  </si>
  <si>
    <t>2026-10-04</t>
  </si>
  <si>
    <t>是</t>
  </si>
  <si>
    <t>首頁</t>
  </si>
  <si>
    <t>https://treats.org.hk/</t>
  </si>
  <si>
    <t>一般公眾</t>
  </si>
  <si>
    <t>機構口號「為每位兒童建立一個共融社會」；三個精選連結：親切共融領袖獎學金、親切共融潛能獎學金2026、香港共融健球盃2025</t>
  </si>
  <si>
    <t>沒有</t>
  </si>
  <si>
    <t>慈善機構｜親切（關於我們）</t>
  </si>
  <si>
    <t>機構簡介、願景、服務目標、服務對象、機構歷史與里程碑</t>
  </si>
  <si>
    <t>服務對象為所有兒童、青少年及家庭，特別是弱勢兒童（障礙、少數族裔、新來港、低收入）</t>
  </si>
  <si>
    <t>1979年成立的註冊慈善團體；香港公益金及香港社會服務聯會會員；稱每年約158,500名兒童及青少年受惠</t>
  </si>
  <si>
    <t>甚麼是共融？</t>
  </si>
  <si>
    <t>https://treats.org.hk/treats-whats-inclusion/</t>
  </si>
  <si>
    <t>共融的定義與理念；香港兒童共融現況與統計（引用政府統計處2021、2016數據）</t>
  </si>
  <si>
    <t>引用政府統計處數據</t>
  </si>
  <si>
    <t>我們的服務</t>
  </si>
  <si>
    <t>https://treats.org.hk/treats-services/</t>
  </si>
  <si>
    <t>九項服務名稱列表：學校共融教育、戶外／社區共融體驗活動、創意無界限、運動零界限、青少年培育服務、少數族裔服務、桌上互動共融教育遊戲、親子共融教育、專業培訓</t>
  </si>
  <si>
    <t>專業培訓</t>
  </si>
  <si>
    <t>https://treats.org.hk/social-inclusion-training/</t>
  </si>
  <si>
    <t>學校</t>
  </si>
  <si>
    <t>機構／團體專業培訓、學校人員（教師、社工）專業培訓，認識共融及不同特殊需要學生</t>
  </si>
  <si>
    <t>機構／團體；學校教師及社工</t>
  </si>
  <si>
    <t>捐助機構：香港賽馬會；參加者感想引述（香港基督教青年會職員、香港科技大學及香港浸會大學學生）</t>
  </si>
  <si>
    <t>親子共融教育（親親‧融融家長坊）</t>
  </si>
  <si>
    <t>https://treats.org.hk/social-inclusion-education/</t>
  </si>
  <si>
    <t>「親親‧融融」家長坊：以短講、角色扮演、討論、體驗遊戲，培育家長的共融教育方法</t>
  </si>
  <si>
    <t>幼稚園及小學家長</t>
  </si>
  <si>
    <t>捐助機構：香港賽馬會；家長感想引述</t>
  </si>
  <si>
    <t>戶外／社區共融體驗活動</t>
  </si>
  <si>
    <t>https://treats.org.hk/social-inclusion-outdoor/</t>
  </si>
  <si>
    <t>「你我全接觸」體驗日營；「攜手結伴同樂日」社區探索活動；影片故事（大埔遊樂篇、大埔餐廳篇）</t>
  </si>
  <si>
    <t>參與學校的學生（一般能力及有特殊需要）</t>
  </si>
  <si>
    <t>捐助機構：香港賽馬會；參加者感想引述</t>
  </si>
  <si>
    <t>共融運動（運動零界限）</t>
  </si>
  <si>
    <t>https://treats.org.hk/inclusive-sport/</t>
  </si>
  <si>
    <t>義工或企業夥伴</t>
  </si>
  <si>
    <t>欖球全接觸計劃（共36位參加者、6節訓練）、共融帆船隊（2013年成立）、共融龍舟隊（2019年成立）、香港共融健球盃（2019年起）</t>
  </si>
  <si>
    <t>特殊學校學生及主流人士（商界義工、主流中小學生）</t>
  </si>
  <si>
    <t>每年招募（具體日期 not stated）</t>
  </si>
  <si>
    <t>義工及參加者感想引述（包括羅兵咸永道會計師事務所義工）；活動網頁 www.i-kinball.org</t>
  </si>
  <si>
    <t>青少年培育服務</t>
  </si>
  <si>
    <t>https://treats.org.hk/social-inclusion-youth/</t>
  </si>
  <si>
    <t>青少年共融大使訓練計劃（每年120位學生、8間主流及特殊學校、為期9個月）；青少年職場共融體驗計劃（智力障礙及自閉症人士）</t>
  </si>
  <si>
    <t>主流及特殊學校學生；智力障礙及自閉症人士（職場計劃）</t>
  </si>
  <si>
    <t>9個月（具體日期 not stated）</t>
  </si>
  <si>
    <t>大使計劃由香港公益金資助；學生感想引述</t>
  </si>
  <si>
    <t>創意無界限</t>
  </si>
  <si>
    <t>https://treats.org.hk/social-inclusion-forall/</t>
  </si>
  <si>
    <t>共融小廚師、共融藝術家：讓不同能力參加者一起創作</t>
  </si>
  <si>
    <t>不同能力的參加者（無明確資格）</t>
  </si>
  <si>
    <t>參加者感想引述</t>
  </si>
  <si>
    <t>少數族裔服務</t>
  </si>
  <si>
    <t>https://staging.treats.org.hk（正式站被 Cloudflare 擋住，頁面路徑 not stated）</t>
  </si>
  <si>
    <t>「動起來！少數族裔青年運動導師培訓計劃」（2021年1月開展，與社企「體育係」合作）；青少年職場共融體驗計劃（少數族裔）</t>
  </si>
  <si>
    <t>少數族裔青年</t>
  </si>
  <si>
    <t>2021年1月開展（現行日期 not stated）</t>
  </si>
  <si>
    <t>合作伙伴：體育係；羅兵咸永道會計師事務所導師及計劃參加者感想引述</t>
  </si>
  <si>
    <t>桌上互動共融教育遊戲</t>
  </si>
  <si>
    <t>https://treats.org.hk/桌上互動共融教育遊戲/</t>
  </si>
  <si>
    <t>Z-Force: Genesis 始元篇：結合角色扮演、策略、冒險及解難的桌上共融教育遊戲</t>
  </si>
  <si>
    <t>與專業遊戲設計公司合作；參加者感想引述</t>
  </si>
  <si>
    <t>居家親子創意遊樂點子</t>
  </si>
  <si>
    <t>https://treats.org.hk/居家親子創意遊樂點子/</t>
  </si>
  <si>
    <t>居家親子遊樂影片系列：遊戲化運動（轉開個膊頭、不能跌的鞋、「瓶」板支撐）、創意無界限（乒乓發射器、七彩拋圈圈、大笨象圈圈）</t>
  </si>
  <si>
    <t>不同背景及能力的家庭</t>
  </si>
  <si>
    <t>「共融在香港」研究報告</t>
  </si>
  <si>
    <t>https://treats.org.hk/「共融在香港」研究報告/</t>
  </si>
  <si>
    <t>研究報告列表：委託香港浸會大學的研究（2023、2008、2006）及親切發表的調查報告（2012–2021）</t>
  </si>
  <si>
    <t>委託香港浸會大學進行研究；2021年少數族裔職場調查訪問621名華裔市民及138名少數族裔人士</t>
  </si>
  <si>
    <t>義工服務</t>
  </si>
  <si>
    <t>https://treats.org.hk/volunteer-work/</t>
  </si>
  <si>
    <t>義工分「一般義工」、「引領員」、「組長」三組；定期舉辦義工簡介會及訓練</t>
  </si>
  <si>
    <t>做義工</t>
  </si>
  <si>
    <t>定期舉辦（具體日期 not stated）</t>
  </si>
  <si>
    <t>企業社會責任</t>
  </si>
  <si>
    <t>https://treats.org.hk/corporate-social-responsibility/</t>
  </si>
  <si>
    <t>六種合作方式：贊助共融活動、直接捐款、物資捐贈、義工服務、專業服務協助、為親切籌款；提供義工訓練</t>
  </si>
  <si>
    <t>做義工、捐款</t>
  </si>
  <si>
    <t>企業義工感想引述（羅兵咸永道會計師事務所、金杜律師事務所）</t>
  </si>
  <si>
    <t>捐款支持</t>
  </si>
  <si>
    <t>https://treats.org.hk/charity-donation/</t>
  </si>
  <si>
    <t>捐款人或資助方</t>
  </si>
  <si>
    <t>捐款方式：網上單次／每月、轉數快、PayMe、AlipayHK、7-Eleven、支票、直接存款；捐款常見問題</t>
  </si>
  <si>
    <t>捐款</t>
  </si>
  <si>
    <t>單次 $300／$500／$1,200／$2,000 或自訂；每月 $200／$300／$500／$1,000 或自訂</t>
  </si>
  <si>
    <t>網上捐款表格；轉數快、PayMe、AlipayHK、7-Eleven、支票（抬頭「親切」）、直接存款</t>
  </si>
  <si>
    <t>giving@treats.org.hk（捐款收據查詢）</t>
  </si>
  <si>
    <t>捐款港幣100元或以上可憑正式收據申請減稅</t>
  </si>
  <si>
    <t>統計及財政概覽</t>
  </si>
  <si>
    <t>https://treats.org.hk/treats-finances/</t>
  </si>
  <si>
    <t>收入及支出圖表；核數師報告（審計財務報表 2022/23、2023/24、2024/25）</t>
  </si>
  <si>
    <t>公開審計財務報表</t>
  </si>
  <si>
    <t>管治架構</t>
  </si>
  <si>
    <t>https://treats.org.hk/treats-management/</t>
  </si>
  <si>
    <t>榮譽顧問及執行委員會名單（主席、副主席、司庫、委員、秘書；姓名 [name removed]）</t>
  </si>
  <si>
    <t>公開榮譽顧問及執行委員會名單</t>
  </si>
  <si>
    <t>聯絡我們</t>
  </si>
  <si>
    <t>https://treats.org.hk/treats-contact/</t>
  </si>
  <si>
    <t>電話、電郵、傳真、地址；「共融有您」月捐計劃專線</t>
  </si>
  <si>
    <t>電話或電郵聯絡</t>
  </si>
  <si>
    <t>電話 2889 1332；treats@treats.org.hk；月捐專線 3427 2024</t>
  </si>
  <si>
    <t>親切共融領袖獎學金</t>
  </si>
  <si>
    <t>https://treats.org.hk/親切共融領袖獎學金/</t>
  </si>
  <si>
    <t>親切共融領袖獎學金計劃2026：每名得主港幣$5,000，並提供領袖訓練及工作體驗</t>
  </si>
  <si>
    <t>中一至中六</t>
  </si>
  <si>
    <t>有特殊教育需要；具熱心服務學校或社區的經驗；具備推動社會共融的熱誠</t>
  </si>
  <si>
    <t>獎學金港幣$5,000（參加費用 not stated）</t>
  </si>
  <si>
    <t>由 Mordril Properties Limited 贊助及支持</t>
  </si>
  <si>
    <t>親切共融潛能獎學金</t>
  </si>
  <si>
    <t>https://treats.org.hk/scholarship/</t>
  </si>
  <si>
    <t>每年最多10名得獎者，每名港幣$10,000，可用於課程／訓練費用、物資、膳食及交通津貼；得獎者故事（姓名 [name removed]）</t>
  </si>
  <si>
    <t>有特殊教育需要及／或少數族裔青少年；曾參與親切活動並展示潛能；對運動、藝術與設計、資訊科技或其他課外活動有興趣</t>
  </si>
  <si>
    <t>獎學金港幣$10,000（申請費用 not stated）</t>
  </si>
  <si>
    <t>每年申請（具體日期 not stated）</t>
  </si>
  <si>
    <t>得獎者故事</t>
  </si>
  <si>
    <t>條款及細則 Terms and Conditions</t>
  </si>
  <si>
    <t>https://treats.org.hk/terms-and-conditions/</t>
  </si>
  <si>
    <t>網站資料免責聲明及外部連結免責聲明</t>
  </si>
  <si>
    <t>私隱條例 Privacy Policy</t>
  </si>
  <si>
    <t>https://treats.org.hk/privacy-policy-2/</t>
  </si>
  <si>
    <t>個人資料（私隱）政策共9項：資料收集、儲存、版權、刪除及取消郵遞等</t>
  </si>
  <si>
    <t>treats@treats.org.hk（個人資料更正／刪除要求）；地址：香港柴灣樂民道3號F座19樓A室</t>
  </si>
  <si>
    <t>註明依據《個人資料（私隱）條例》；網上捐款使用 PayPal 支付閘道</t>
  </si>
  <si>
    <t>Fun To Go! 共融遊樂Guide</t>
  </si>
  <si>
    <t>https://treats.org.hk/fun-to-go-共融遊樂guide/</t>
  </si>
  <si>
    <t>2021年10月推出的共融遊樂資訊流動應用程式：遊樂地點、建議路線、共融指數評分、Google 地圖、最新活動資訊及報名</t>
  </si>
  <si>
    <t>傷健兒童及其家庭</t>
  </si>
  <si>
    <t>三大共融指標評分（易達度、無障礙度、多元化度）；家長及兒童感想引述</t>
  </si>
  <si>
    <t>已核對頁數</t>
  </si>
  <si>
    <t>（至少要 5 頁）</t>
  </si>
  <si>
    <r>
      <t xml:space="preserve">TREATS Facebook </t>
    </r>
    <r>
      <rPr>
        <b/>
        <sz val="14"/>
        <rFont val="Microsoft YaHei"/>
        <family val="2"/>
        <charset val="134"/>
      </rPr>
      <t>帖子</t>
    </r>
    <phoneticPr fontId="12" type="noConversion"/>
  </si>
  <si>
    <t>黃色欄位手動填；藍色表頭的分類欄位由 WorkBuddy 填（課件第 41 頁）。人名一律改寫為 [name removed]，不抄留言內容。</t>
  </si>
  <si>
    <t>發佈日期</t>
  </si>
  <si>
    <t>帖子文字（人名已刪）</t>
  </si>
  <si>
    <t>媒體類型</t>
  </si>
  <si>
    <t>讚好</t>
  </si>
  <si>
    <t>留言</t>
  </si>
  <si>
    <t>分享</t>
  </si>
  <si>
    <t>主要對象（WorkBuddy）</t>
  </si>
  <si>
    <t>帖子類型（WorkBuddy）</t>
  </si>
  <si>
    <t>有齊行動資料？（WorkBuddy）</t>
  </si>
  <si>
    <t>呼籲行動（WorkBuddy）</t>
  </si>
  <si>
    <t>例</t>
  </si>
  <si>
    <t>2026-09-20</t>
  </si>
  <si>
    <t>感謝 [name removed] 公司義工參與共融遊戲日……</t>
  </si>
  <si>
    <t>圖片（5 張）</t>
  </si>
  <si>
    <t>感謝伙伴或贊助商</t>
  </si>
  <si>
    <t>否</t>
  </si>
  <si>
    <t>打出自己的節奏                                              [name removed]- 親切共融潛能獎學金得獎者
聽不到聲音，對很多運動員而言，或許意味著少了一種掌握比賽的方法。對有聽力障礙的[name removed]來說，卻沒有讓她停下來。
十歲那年，她跟著同學第一次接觸乒乓球。她試過羽毛球、游泳、跑步，最後真正留下來的，卻是這張乒乓球枱。球拍碰撞的聲音，她未必能完整聽見；比賽場上的指示，她亦需要依靠翻譯員、手語和提示牌去理解。但慢慢地，她找到屬於自己的方法——聽不到，不代表看不到；需要多一點時間理解，也不代表不能在球場上找到自己的位置。
／一張球枱，讓她留下來／
2018年，小六的[name removed]第一次接觸乒乓球。起初，只是因為同學約她一起參加訓練。三個朋友一同學、一同練，再一起去比賽，乒乓球很快便從一項新嘗試，變成她真正喜歡的運動。
相比游泳，[name removed]更喜歡乒乓球的節奏。「可以單打，又可以雙打。」對她而言，球場不只是自己一個人的戰場，身邊還有一起練習、一起比賽的朋友。
聽不到，也要看見比賽
[name removed]主要使用耳背式助聽器。比賽時，她需要比其他人更留意場上的訊息。
裁判的指示未必能單靠聲音聽清楚，她便觀察裁判動作、手語及翻譯員的提示；場邊亦有人舉牌，提示得分、出界等資訊，讓她掌握比賽進程。
當球來到眼前，她沒有時間慢慢思考。她要看球的方向、對手的動作，也要留意場上的變化。
慢慢地，這些原本需要額外注意的事情，變成了她比賽的一部分。
球拍碰到球的瞬間，她看見的是速度、角度，以及對手下一步可能作出的反應。她未必聽得到球場上的每一個聲音，卻一樣可以用自己的方式，讀懂一場比賽。
／第一次代表香港／
練習多年後，[name removed]最深刻的一場比賽，是第一次代表香港出外參賽——聽障奧運會。
第一次穿上代表香港的戰衣，她既興奮又緊張，緊張得手震。「第一次去其他國家代表香港」，對她而言，這不只是一場普通比賽，而是多年訓練後，第一次真正走到更大的舞台。
第一次出賽未必完美， 但比賽後留下來的，不只是名次，更多的是一份經驗。她再到廣州參賽，一次又一次累積比賽經驗，慢慢進步，最終亦成功取得獎項。
從第一次比賽時的手震、緊張，到現在知道要提早兩個小時到場熱身、練波，讓自己慢慢投入比賽狀態，[name removed]開始找到面對壓力的方法。
／一份獎學金，讓她繼續練下去／
對[name removed]而言，代表香港出賽是夢想，但運動員的路同時也是一筆筆實際的開支。
訓練、教練、場地、比賽和外地住宿，每一項都需要費用。過去，她主要參加團體訓練， 如果想接受一對一私人訓練，對家庭而言便是另一重負擔。
幸好[name removed]得到親切共融潛能獎學金。她將獎學金用於私人教練、訓練場地，以及購買一直想要的球拍。較輕的球拍讓她在比賽時更容易發揮；她亦到深圳接受單對單訓練，在較低成本下進行更長時間的練習。「現在一天練四小時。」
這些看似實際的支援，對一個希望繼續進步的年輕運動員而言，卻是讓她能夠繼續站在球場上的重要條件。
更重要的是，這份獎學金讓[name removed]感受到，自己一路以來的努力有人看見。練習很辛苦，面對比賽的緊張亦很辛苦。但當努力終於換來一次又一次的進步，她開始明白，原來那些反覆練習的日子，都有意義。
／她想把球拍交到下一個人手上／
十歲第一次拿起球拍時，[name removed]大概沒有想過，自己有一天會代表香港出賽，更沒有想過，這項因朋友而接觸的運動，會成為她一直想走下去的路。
如今，她仍然希望繼續比賽、繼續訓練。而下一個目標，是成為教練。她希望將自己一路學懂的乒乓球，教給其他小朋友，讓更多人有機會接觸這項運動。
從小六第一次跟朋友走進訓練場，到第一次代表香港參加聽障奧運，再到今天獲得獎學金，繼續為下一場比賽準備，[name removed]一直都在向前走。
這一次，她想的不只是自己可以走多遠，而是有一天，自己可以帶著另一個小朋友，走上這張球枱。</t>
  </si>
  <si>
    <t>圖片（10 張）</t>
  </si>
  <si>
    <t>倡導</t>
  </si>
  <si>
    <t>【中秋市集】把創意化成一份心意
【Mid-Autumn Festival Market】Turning Creativity into a Heartfelt Gift
中秋，係一家人相聚、朋友分享心意嘅日子。願大家喺團圓嘅時光裡，感受身邊人嘅關懷，亦將呢份溫暖分享畀更多人。
中秋翌日，親切會參與中秋市集，帶來由親切共融潛能獎學金得主[name removed]親自設計嘅文創產品。[name removed]患有脊髓性肌肉萎縮症（SMA）第二型，需以輪椅代步。喜歡水彩嘅她，雖然只能靠右手三隻手指控制畫筆，仍然一直堅持創作，並希望將興趣發展成未來事業。
今個中秋，親切將[name removed]嘅創意同心意化成一份份獨特文創小品，與大家分享。願每一份心意，都能為人帶來一點溫暖，讓更多人看見每個人都可以用自己的方式發光。
天星創業市集：
日子：2026年9月26日
時間：上午 10 時至下午 6 時
地點：中環天星碼頭 7 號碼頭 1 樓
祝大家中秋節快樂，月圓人聚，心意常在！
The Mid-Autumn Festival is a time for families and friends to come together and share their love and care. May we all cherish these moments of togetherness, feel the warmth of those around us, and pass that warmth on to others.
The day after the Mid-Autumn Festival, TREATS will be joining a Mid-Autumn Festival Market, featuring creative products designed by [name removed], a recipient of the TREATS Inclusive Scholarship. [name removed] has Spinal Muscular Atrophy (SMA) Type 2 and uses a wheelchair. A passionate watercolour artist, she paints using just three fingers on her right hand. Despite the physical challenges she faces, she continues to pursue her passion for art, with the hope of turning her interest into a future career.
This Mid-Autumn Festival, TREATS is turning [name removed]’s creativity and heartfelt wishes into unique handmade products to share with everyone. May each piece bring a little warmth to those who receive it, and remind us that everyone can shine in their own way.
SEPD Market @ Star Ferry
Date: 26 September 2026
Time: 10:00 a.m. – 6:00 p.m.
Venue: Central Star Ferry Pier 7, 1/F
Wishing everyone a happy Mid-Autumn Festival, filled with togetherness, warmth and joy!</t>
  </si>
  <si>
    <t>活動宣傳</t>
  </si>
  <si>
    <t>到場參與</t>
  </si>
  <si>
    <t>【中秋月餅裝作】每人都有自己發光的位置
【MidAutumnMooncakes】Everyone has something special to contribute
上星期連續兩日，有商界義工分別同東華三院包玉星學校及匡智屯門晨輝學校，有輕度智障嘅同學一齊落手落腳製作迷你單黃蓮蓉月餅。
由搓餅皮、準備蓮蓉餡、包餡、印模，到最後包裝，每一個步驟都由大家一齊完成。第一次合作，未必一開始就知道怎樣配合，但大家慢慢搵到節奏，整出一個個小巧精緻嘅月餅。月餅好味之餘，更裝住大家一齊付出的心思。
活動完結之後，有義工分享，每位同學都有自己熟悉嘅做事方式和節奏。有啲同學對重複而需要細心嘅工序特別有耐性，大家亦慢慢摸索出最適合彼此嘅合作方式。
其中，有同學本身已經有不少煮食經驗。義工畀空間佢哋按照自己嘅方法嘗試整月餅，過程令大家有更多機會互相交流——同學分享自己熟悉嘅做法，義工亦從中學習點樣配合，讓每個人都可以參與其中。
一次月餅製作，大家學到嘅唔只係點樣整一個月餅。當彼此都有機會嘗試、表達同發揮所長，合作就唔再只係單方面嘅教與學，而係一個互相交流、互相學習嘅過程。
多謝咁多位義工嘅參與，讓一個個月餅成為彼此認識、合作同交流嘅小小開始。
Over two consecutive days last week, corporate volunteers joined students with mild mental challenge from TWGHs Chi-Li Pao School and Hong Chi Morninghope School, Tuen Mun to make lotus seed paste mooncake with single yolk together.
From preparing the dough and lotus seed paste, to wrapping the filling, shaping the mooncakes with moulds and finally packaging them, every step was completed through teamwork. It was their first time working together, and it took a little time to find their rhythm. But as they worked side by side, everyone gradually found their own way of contributing and created a batch of beautifully made mooncakes. More than just delicious treats, each mooncake was filled with the time, care and thought that everyone put into making it.
After the activity, volunteers shared that each student had their own familiar ways of doing things and their own pace. Some students showed great patience when working on repetitive tasks that required attention to detail, while everyone gradually found ways to work together that suited them best.
Through making mooncakes together, everyone learned more than just how to make a mooncake. When everyone has the opportunity to try, express themselves and make use of their strengths, collaboration becomes more than a one-way process of teaching and learning. It becomes a process of sharing, learning and growing together.
Thank you to all the corporate volunteers for being part of this experience. May these little mooncakes be the beginning of more opportunities to connect, collaborate and learn from one another.</t>
  </si>
  <si>
    <t>圖片（9 張）</t>
  </si>
  <si>
    <t>活動報道</t>
  </si>
  <si>
    <t>【親切共融帆船隊2026】乘風而行，並肩揚帆
【TREATS Inclusive Sailing Team 2026】Sailing Together, Riding the Wind
三位來自匡智松嶺學校，具中度智力障礙嘅同學，聯同三位來自基督教香港信義會社會服務部太和青少年綜合服務中心，有自閉症嘅同學，與六位主流義工，組成六隊拍檔組，佢哋將會喺未來兩個月攜手以帆船探索西貢海域。
同學同義工都要由零開始學習砌船、操控帆船嘅技巧。當帆船駛出浩瀚大海，拍檔二人成為彼此唯一嘅依靠，佢哋需要互相配合、緊密溝通，先可以駕馭海上嘅風浪。
喺未來五節訓練，同學同義工要學識面對大自然唔同嘅環境，用默契去應對既多變又具挑戰性嘅海上環境。
喺十一月，親切共融帆船隊就要迎接親切共融帆船挑戰賽2026，將學到嘅技能同默契喺競賽中發揮！
#親切共融帆船挑戰賽2026
日期：2026年11月22日
地點：西貢白沙灣遊艇會
 密切留意帆船隊嘅消息，為佢哋打氣！
Three students with moderate  mental challenge from Hong Chi Pinehill School, together with three students with autism spectrum disorder from Tai Wo Integrated Youth Service Centre under the Evangelical Lutheran Church Social Service, and six mainstream volunteers, have formed six sailing pairs. Over the next two months, they will set out together to explore the waters of Sai Kung by sailing.
Both students and volunteers will start from scratch, learning how to assemble a sailboat and develop their sailing skills. Once they sail out into the open sea, each pair will become one another’s only teammate on the water. They will need to coordinate closely and communicate with each other in order to navigate the wind and waves.
Across the next five training sessions, the students and volunteers will learn to respond to different conditions in nature, relying on their teamwork and growing understanding of each other to face the ever-changing and challenging environment at sea.
In November, the TREATS Inclusive Sailing Team will take on the TREATS Inclusive Sailing Race 2026, putting the skills and teamwork they have developed into practice in the competition!
TREATS Inclusive Sailing Race 2026
Date: November 22, 2026
Venue: Hebe Haven Yacht Club, Sai Kung
 Stay tuned for updates from the sailing team and cheer them on!
計劃由李嘉誠基金會大埔宏福苑火災緊急援助基金資助
This project is sponsored by the Li Ka Shing Foundation Tai Po Wang Fuk Court Fire Emergency Relief Fund.</t>
  </si>
  <si>
    <t>留意消息、打氣</t>
  </si>
  <si>
    <t>【Sports For All】【共融龍舟】划出默契，也划出彼此支持
今年，親切聯同慈山寺佛法心靈輔導中心義工，以及大埔松嶺學校中度智障同學，組成「親切共融龍舟隊2026」，一同參與「大埔區龍舟競賽暨嘉年華」，出戰親切共融龍舟賽2026。
對第一次參與龍舟運動的義工[name removed]而言，與特殊需要同學[name removed]組成拍檔，同樣是一個全新的挑戰。由最初擔心彼此未能配合，到經過一次次訓練，兩人逐漸找到共同節奏，更在比賽期間互相支持，成為彼此的依靠。
當來自不同背景、擁有不同能力的人坐在同一艘龍舟上，除了要學習跟上彼此的步伐，更要相信隊友。究竟一艘龍舟，可以如何讓兩個原本不熟悉的人，慢慢建立默契，學懂彼此支持，一起向前？
YOUTUBE.COM
【共融龍舟】划出默契，划出彼此支持</t>
  </si>
  <si>
    <t>影片連結（YouTube）</t>
  </si>
  <si>
    <t>【EM SPARK】少數族裔青年運動導師培訓計劃 現正招募！
【EM SPARK】Empowering Inclusion Though Youth Capability Building, Job Opportunities, and Growth Recruitment Now Open!
對運動有興趣，想為自己開拓更多可能？
親切首次推出嘅「EM SPARK」計劃，讓本港中三至中六少數族裔青年透過新興運動專業培訓同社區參與，提升社交同溝通技巧，增強職涯競爭力。同時，透過與社會大眾嘅親身接觸，可以進一步融入香港社區！
 計劃唔止為參加者提供專業培訓，更可以為未來進入職涯同融入社區作好準備！
- 職涯發展｜新興運動專業培訓
由健球及手綿球指導員證書課程，到實際帶領新興運動班，累積實戰經驗，探索體育職涯發展。
- 擴展社交網絡｜社區連結及參與
參與新興運動嘉年華、短片製作同師友配對，與不同背景人士交流合作，喺一次次參與和挑戰中建立自信，累積正面成長經驗。
 名額15人
 費用全免｜需通過面試及甄選
 適合對體育職涯有興趣、願意接受挑戰及學習新技能嘅中三至中六少數族裔青年（申請須經由就讀學校提交。）
Passionate about sports and ready to explore more possibilities for your future?
TREATS’ newly launched EM SPARK programme supports ethnic minority students from Secondary 3 to Secondary 6 through professional training in emerging sports and community participation. Participants will develop their social and communication skills, strengthen their career readiness, and connect with the wider Hong Kong community through meaningful interactions.
 More than professional training — EM SPARK helps prepare you for your future career and community life!
- Career Development｜Emerging Sports Professional Training
From Kin-Ball and Taspony Instructor Certificate Courses to hands-on experience leading emerging sports classes, participants can gain practical experience and explore career opportunities in sports.
- Expanding Social Networks｜Community Connection &amp; Participation
Take part in emerging sports carnivals, short video production and mentorship activities. Connect and collaborate with people from different backgrounds, build confidence and gain positive growth experiences through new challenges.
 15 places available
 Free of charge｜Interview and selection required
 For ethnic minority students from Secondary 3 to Secondary 6 who are interested in a career in sports, willing to take on challenges and eager to learn new skills. (Applications must be submitted through your school.)
查詢Enquiries:：[name removed]｜2889 1332
計劃由愛心聖誕大行動資助。
Thisproject is sponsored by Operation Santa Claus.</t>
  </si>
  <si>
    <t>圖片（1 張）</t>
  </si>
  <si>
    <t>報名、查詢</t>
  </si>
  <si>
    <t>【共融健球體驗及訓練｜現正接受報名！】
 【Inclusive Kin-Ball Experience &amp; Training | Now Open for Registration!】
想試下與別不同嘅團隊運動？
 健球等你嚟挑戰！大家一齊溝通、合作、互相配合！
今次「共融健球體驗及訓練」，邀請大埔區不同能力嘅參加者走埋一齊，透過健球運動學習欣賞彼此嘅不同，發揮各自所長。無論你係第一次接觸健球，定係本身鍾意運動，都可以喺球場上搵到自己嘅角色，與隊友一齊為共同目標努力！
 2026年10月3、10、17、24、31日（逢星期六）
 下午2:00–4:00
 大埔區／沙田區場地（待定）
 名額20人｜費用全免
歡迎 8–18歲特殊教育需要學生 及 16歲以上主流人士參加，大埔區就讀或居住者優先！
 立即掃描QR Code報名，用運動連結彼此，打出共融新體驗！
Looking for a fun and unique team sport?
Come and take on the challenge of Kin-Ball! Work together with your teammates through communication, cooperation and coordination!
The “Inclusive Kin-Ball Experience &amp; Training” brings together participants of different abilities from Tai Po. Through Kin-Ball, participants will learn to appreciate each other’s differences, discover their strengths and work together as a team.
 Whether you are new to Kin-Ball or simply enjoy sports, everyone can find their role on the court and work towards a common goal with their teammates!
 October 3, 10, 17, 24 &amp; 31, 2026 (Saturdays)
2:00–4:00 PM
Venue in Tai Po / Sha Tin (TBC)
20 places | Free of charge
Open to students with special educational needs aged 8–18 and mainstream participants aged 16 above. Priority will be given to those studying or residing in Tai Po!
 Scan the QR code to register now and connect through sport for a more inclusive experience!
計劃由李嘉誠基金會大埔宏福苑火災緊急援助基金資助
This programme is sponsored by the Li Ka Shing Foundation Tai Po Wang Fuk Court Fire Emergency Relief Fund</t>
  </si>
  <si>
    <t>報名</t>
  </si>
  <si>
    <t>【24小時慈善小艇賽】感謝支持 繼續結伴同行
【 24-Hour Charity Dinghy Race】Thank You for Your Support — Sailing Forward Together
衷心感謝 Hebe Haven Yacht Club 白沙灣遊艇會 24小時慈善小艇賽 為親切籌得逾港幣6萬6千元善款，令我哋可以繼續畀唔同能力障礙嘅同學，嘗試及享受帆船呢項自由自在嘅海上運動，享受帆船運動嘅樂趣，體現平等參與嘅共融運動精神。
繼續同行，我哋先可以喺 共融帆船 路上走得更遠。
We are deeply grateful to the Hebe Haven Yacht Club (HHYC Official) for their longstanding support and for raising over HKD 66,000 through the 24 Hour Charity Dinghy Race 2026. This generous contribution enables us to continue providing children and youths with diverse abilities the opportunity to experience and enjoy the liberating sport of sailing, fostering joy and embodying the spirit of inclusive participation.
Together, we can go further on the path of #InclusiveSailing.
重溫親切共融帆船隊今屆參加24小時慈善小艇賽相片：
Highlight of TREATS Inclusive Sailing Team’s participation in this year’s 24-Hour Charity Dinghy Race
https://www.facebook.com/treatshk/posts/pfbid02MyYzQPatAJm239xjWjG5QxvVBBXd7DijWcbtZQRtQ4Re3qEchqKAAkqonSsat5r1l
重溫第六屆親切共融帆船挑戰賽2025影片：
Highlight of TREATS Inclusive Sailing Race 2025:
https://www.youtube.com/watch?v=nbJDGHFsgRg&amp;t=180s</t>
  </si>
  <si>
    <t>圖片（3 張）</t>
  </si>
  <si>
    <t>一起划舟，一起成長　　　　　　　                                                [name removed]　親切商界義工
或許對很多人而言，參與義工服務，往往意味著付出工餘時間來陪伴別人，同時希望用自己的一點時間，為社會帶來一些改變。對 [name removed] 而言，今次參與親切共融龍舟計劃，起初其實沒有想得太複雜。當「義工」遇上「龍舟」，兩件自己喜歡的事碰在一起，便成了她眼中的「出奇蛋」——既可以做義工，又可以重拾自己喜歡的運動，雙倍歡樂。
然而，兩節訓練、一場比賽之後，真正留在她心裡的，並不只是划過多少次槳、完成過多少次訓練，而是這趟旅程裡，與一群原本陌生的人，一起流過汗、一起咬緊牙關，也一起划向同一個終點。
/從「想做義工」到「想認識他們」/
一直以來，[name removed] 都有參與義工服務的習慣。對她而言，義工本身就是一個很吸引人的身份，只要有機會，她總會想看看自己可以做些甚麼。這一次選擇參與親切共融龍舟計劃，除了因為喜歡龍舟，亦因為過往未曾與有特殊教育需要（SEN）的學生一起參與運動，這次和輕度智力障礙的同學組隊，對她而言是一次新的嘗試。
第一次見面之前，她其實有過一點擔心。在腦海裡想像過很多可能發生的情況，卻沒有一個確切的答案。直到第一次訓練，她真正見到這班學生。那一刻，她反而先被眼前的畫面逗笑了。「我見到一班男仔一起走進來，個個都高過我。我沒想過他們會這麼大個。」
錯愕很快便在相處中慢慢消失。當一件事情真正吸引同學們時，他們可以投入得比想像中更深。「他真的會很專注地做一件事。」令 [name removed] 開始放下原本的想像。比起想著應該怎樣「幫助」他們，她開始更想知道，他們喜歡甚麼、在意甚麼，又是怎樣看待眼前這個世界。做義工真正需要跨越的，從來不只是與別人的距離，而是我們心裡對「不同」的想像。
/一條龍舟，慢慢划成一支隊伍/
學生本身已有龍舟經驗，起板、划槳、隊形等基本動作都相當熟悉。即使偶爾出現節奏上的誤差，只要老師提醒，他們便會嘗試調整。反而對第一次參與的義工而言，如何跟上整個團隊的節奏，才是需要慢慢適應的地方。
兩節訓練並不算長，要在短時間內建立默契，本來並不容易，但 [name removed] 卻意外地感受到一種「合拍」。「我自己覺得，跟這一隊是很合得來的。」
這份合拍，並不只是技術上的配合。[name removed] 過去也曾與成年人一起划龍舟，相比之下，這班學生參加了，就一定會做好。他們未必每一下都用對力，也未必每個動作都做到完美，卻總會認真完成眼前的事情。那份專注，甚至感染了身邊的義工。「我們幾個義工都覺得很驚訝 ，會覺得，為甚麼他們可以這樣？」
[name removed] 發現，這次並不是義工單方面帶著學生完成一場比賽。恰恰相反，正是學生那份投入，讓一班原本並不熟悉的義工，慢慢成為了一支真正的隊伍。「反而是他們令我們更加成為一隊。」
/一張合照，一個很細微的連結/
如果要 [name removed] 選一個最深刻的畫面，她沒有選比賽的成績，也沒有選划槳時最緊張的一刻。
她記得的，反而是一位平日比較安靜的男同學。那位學生平時不太說話，卻一直很認真。比賽結束後，大家坐在一起等候，[name removed] 和其他隊員一起拍照。就在那個時候，他突然問了一句：「我們一會兒還會不會一起拍照？」
只是一句很簡單的問題，卻讓 [name removed] 記住了很久。「他平時不太出聲，沒想到他其實很享受跟我們在一起。」
她發現對學生而言，這並不只是一場龍舟比賽，他們會記得一起訓練的人。那些看似微不足道的互動，原來都在一點一點拉近彼此的距離。一句問候、一張合照，都可以成為「我記得你」的證明，一個真實存在的連結。
/共融，不只是和平共處/
「以前我覺得共融就是，你接受我，我接受你，一起玩，不互相批判。」但經歷這次龍舟之旅後，[name removed] 覺得，共融其實可以走得更深。「除了和平共處，其實還可以一起成長，一起建立聯繫 。」
在她眼中，共融不只是讓不同的人坐上同一條龍舟，而是大家都能從彼此身上找到值得學習的地方。「你接受我的同時，我也可以從你身上找到一些值得欣賞的地方，大家互相學習，反而可以建立一些新的東西。」
這份「互相」，也令她重新理解義工的意義。「義工不一定只是想『我可以為別人做甚麼？』其實是我也有所得著。 」
[name removed] 認為，自己能夠抽出時間做義工，是因為本身擁有時間、能力和身體條件，而這些都是值得感恩的事。她開始重新思考「限制」的定義，或許有些特質在社會標準下被視為限制，但換一個角度，它們也可能成為一個人的長處。「每個人都可以在自己的領域發光。」
/從龍舟學會專注，也學會享受當下/
回望整個龍舟計劃，[name removed] 最深刻的收穫，不是亞軍獎項，也不是重新拿起龍槳的那一刻，而是那段與學生真正相處的時間。「這段時間很珍貴，可以跟他們相處。」
她形容，能夠在忙碌的生活裡抽出時間，與一班原本陌生的人一起訓練、一起比賽、一起完成一件事情，本身就是一份難得的經歷。
而這份經歷，也讓她更加懂得感恩自己擁有的一切。「某程度上，能夠跟他們相處這段時間，其實也是一種福氣。」[name removed] 笑言，今次經歷就像一個出奇蛋：有得玩，又有得著。對她而言，這場旅程真正留下的，或許正是那份最簡單的提醒—有時候，我們不需要急著改變別人，只要願意放慢一點、靠近一點，彼此便已經可以在同一條船上，一起成長。</t>
  </si>
  <si>
    <t>圖片（7 張）</t>
  </si>
  <si>
    <t>【Sports For All】【共融手綿球】由陌生到隊友；從海綿球學懂彼此合作
親切首次舉辦「親切共融手綿球計劃」，邀請來自林村公立黃福鑾紀念學校及才俊學校的學生組成雙打隊伍，一同學習這項源自日本名古屋的新興運動。 兩間學校學生由不懂如何配合，到慢慢學會溝通、鼓勵和互相支持。究竟一個海綿球，可以如何讓兩個原本互不認識的人，成為真正的隊友？
計劃由李嘉誠基金會大埔宏福苑火災緊急援助基金資助
This programme is sponsored by the Li Ka Shing Foundation Tai Po Wang Fuk Court Fire Emergency Relief Fund.
YOUTUBE.COM
【#共融手綿球】由陌生到隊友；從海綿球學懂彼此合作</t>
  </si>
  <si>
    <t>【親切青少年共融大使訓練計劃2026-2027】 接受報名！
想為學生提供一個好玩又有意義嘅共融學習體驗？又或者希望同學接觸唔同背景嘅人，學習如何與不同需要嘅伙伴相處？歡迎參加「親切青少年共融大使訓練計劃2026-2027」，讓學生在輕鬆愉快嘅活動中認識彼此、學習新技能，踏上一段充滿挑戰與成長嘅共融旅程！
「親切青少年共融大使訓練計劃2026-2027」將主流學校及特殊學校嘅青少年聚埋一齊，透過一系列共融活動，讓大家認識不同背景、建立友誼，同時培育12至18歲學生嘅社交、溝通、團隊合作及領導能力。
為期接近一年嘅計劃，除了讓主流學校同學學習如何與不同背景及需要嘅人士相處，特殊學校同學亦會透過多元活動認識自己、發掘潛能，為未來融入社會作準備。計劃包括「真職場體驗」，讓特殊需要同學親身接觸職場環境，了解不同工作崗位嘅工作；計劃亦設有「表達與形象工作坊」，由專業導師指導同學學習自我介紹、職場禮儀及合適嘅形象與衣著，提升自信及表達能力。
而計劃嘅壓軸活動繼續係社區流動車嘉年華！主流學校及特殊學校嘅同學會以「共融大使」身份，一齊策劃及參與大型社區活動，向公眾推廣共融訊息。由構思活動、分工合作，到親身走入社區與市民交流，同學可以將一年所學嘅知識及技能實踐出嚟，提升溝通能力、團隊精神及領導才能。
無論係認識新朋友、探索未接觸過嘅職場，定係親手策劃一場社區活動，學生都可以喺一次次互動與合作中擴闊視野、建立自信，學習欣賞彼此不同，成為更有能力、更有同理心嘅共融大使！
若主流及特殊學校對計劃有興趣，歡迎聯絡[name removed] 2889 1287，或電郵至 [name removed]。我哋會盡快為你提供詳細資料及報名表格。
計劃時期：2026年9月至2027年6月</t>
  </si>
  <si>
    <t>【Sport Play Out! 25–26】30節訓練，見證青年成長為體育領袖
【Sport Play Out! 25–26】30 Sessions of Growth, From Participants to Sport Leaders
經過30節遊戲化運動及新興運動訓練，18位來自明愛胡振中中學的少數族裔青年，完成「動起來！EM Teen融樂運動培訓計劃2025 - 運動領袖訓練」啦！
呢30節訓練，對同學而言唔只係一段運動訓練，更係一段成長旅程。由學習健球、手綿球到旋風球，佢哋唔單止學識唔同新興運動嘅技巧同帶領方法，亦慢慢建立自信、溝通同領導能力，考取相關專業資格，為將來投身體育相關工作做好準備。
對一班同學嚟講，最初帶領活動時難免會緊張，加上語言有時會成為溝通上嘅挑戰。不過，隨住一次又一次落場帶活動，佢哋慢慢學識用示範、肢體動作同耐性去同參加者溝通，後來已經可以更自然、自信咁表達同帶領活動。
過去一年，學生亦擔任實習導師，帶領小學生進行健球體驗活動，亦擔任共融手綿球比賽嘅教練。由最初學習點樣帶人，到真正落場面對唔同參加者，佢哋一步步累積經驗，亦更加了解點樣照顧其他人嘅需要。
學生 [name removed] 分享：「我發現自己最大的優勢係活潑同健談，我可以運用呢份活力去鼓勵其他人，建立佢哋嘅信心。」對佢嚟講，運動唔只係學識一項新技能，更令佢發現自己原來可以用自身嘅活力同能力，去鼓勵同建立其他人嘅信心。
After completing 30 sessions of gamified sports and Newly Emerged Sports training, 18 ethnic minority students from Caritas Wu Cheng-Chung College have completed the Sport Play Out! Sport Leader Training Programme!
For the students, these 30 sessions were more than just sports training — they were a journey of growth. Through learning Kin-ball, Taspony and Flyball, they not only developed skills in different emerging sports and learned how to lead activities, but also built their confidence, communication and leadership skills. They also worked towards relevant professional qualifications, preparing themselves for future opportunities in the sports field.
For many of the students, leading activities was challenging at first. They felt nervous, while language could sometimes make communication more difficult. However, with more opportunities to lead activities, they gradually learned to communicate with participants through demonstrations, body language and patience. Over time, they became more natural and confident in expressing themselves and leading activities.
Throughout the year, the students also took on roles as trainee instructors, leading Kin-ball sessions for primary school students and coaching teams at TREATS  inclusive Taspony competition. From learning how to lead others to gaining hands-on experience with different participants, they gradually built up their experience and developed a better understanding of how to respond to the needs of others.
Student [name removed] shared: “I discovered that one of my biggest strengths is being active and talkative. I can use this energy to encourage others and build their confidence.” For him, sports are not just about learning a new skill — it has also helped him discover how he can use his energy and abilities to encourage and empower others.</t>
  </si>
  <si>
    <t>【Z-Force: Genesis 始元篇】讓遊戲成為共融學習的起點
【Z-Force: Genesis】Turning Games into a Starting Point for Inclusion
一個桌遊，可以帶來幾多可能？親切推出嘅「Z-Force: Genesis 始元篇」桌上互動共融教育遊戲，同學不只係玩家，更會成為共融推動者！
「Z-FORCE: GENESIS 始元篇」係一個結合策略、冒險同角色扮演嘅桌上互動共融教育遊戲！活動由專業導師帶領，同學仔一齊化身成特工，進入一連三集嘅精彩故事，透過團隊合作、溝通及解難，一起拆解各種挑戰。而每節故事內容亦融入多元價值觀元素，引導參加者從不同角度思考，反思自己與身邊人的相處方式。
同學由玩家變成帶領者，將共融真正帶進校園
Z-FORCE嘅學習唔止停留喺遊戲桌上！同學更由「玩家」變身成設計者及帶領者 ，喺校內進行共融遊戲分享會，將自己喺遊戲中嘅體驗，以及學到嘅共融訊息分享畀其他同學。
由參與遊戲，到親自帶領活動，同學有機會將所學實踐出嚟。有參與首屆計劃嘅同學表示，自己喺帶領過程中比以往更有耐性，亦願意了解同學嘅需要及感受，學會以同理心與人相處，並將呢份學習帶進日常生活。
2025–26學年，計劃已於以下四間學校推行：
 聖母無玷聖心學校
 瑪利諾神父教會學校（小學部）
 基督教香港信義會信愛學校
 地利亞（閩僑）英文小學
 2026–27學年「Z-Force: Genesis 始元篇」現正招募參與學校！
計劃將於2026年9月至2027年7月期間進行，共6節：
① 計劃簡介會及預備日
②–④ 遊戲三部曲
⑤ 歷程回顧分享及服務預備
⑥ 校內分享／社區推廣
歡迎學校參與，令遊戲成為同學認識多元、實踐共融嘅起點！
 立即網上報名：https://forms.gle/5bqvZWp51ia1Uq39A
How much can a board game inspire? TREATS launched “Z-Force: Genesis”, an interactive board game designed to promote inclusion and learning. Through the programme, students are not only players, but also become advocates for inclusion!
“Z-Force: Genesis” combines strategy, adventure and role-playing elements. Led by professional instructors, students step into the roles of secret agents and enter an exciting three-part story, working together to overcome different challenges through teamwork, communication and problem-solving. Each chapter also incorporates themes of diversity and values, encouraging students to think from different perspectives and reflect on how they interact with and understand others.
From Players to Facilitators: Bringing Inclusion into the School Community
Learning through Z-Force does not stop at the game table! Students will transform from “players” into learning experience designers and facilitators. They planned and led inclusive game-sharing sessions at school, sharing their experiences from the game and the messages of inclusion they had learned with their fellow students.
By moving from participating in the game to leading activities themselves, students had the opportunity to put what they learned into practice. Students who participated in the inaugural programme shared that they became more patient while facilitating the activities, were more willing to understand the needs and feelings of their peers, and developed greater empathy that they could carry into their everyday lives.
During the 2025–26 academic year, the programme was delivered at:
 Immaculate Heart Of Mary School
 Maryknoll Fathers' School (Primary Section)
 ELCHK Faith Love Lutheran School
 Delia (Man Kiu) English Primary School
 Z-Force: Genesis is now recruiting participating schools for the 2026–27 academic year!
The programme will run from September 2026 to July 2027, comprising six sessions:
① Programme Introduction &amp; Preparation
②–④ The Three-Part Game Series
⑤ Reflection &amp; Service Preparation
⑥ School Sharing / Community Outreach
We welcome schools to join us and make games a starting point for students to discover diversity and put inclusion into practice!
 Register online: https://forms.gle/5bqvZWp51ia1Uq39A</t>
  </si>
  <si>
    <t>圖片（8 張）</t>
  </si>
  <si>
    <t>原來，世界有唔同嘅感受方式｜出門的計算
出街，真係只係計時間咁簡單？
對輪椅使用者嚟講，計劃外出往往先計「路」而唔係「幾點到」。升降機有冇維修、斜路夠唔夠闊、門檻高唔高、洗手間用唔用到，全部都會影響能否順利到達目的地。有時一級樓梯，就足以令整個行程改變。
原來，自由出入唔一定理所當然，有人係一步一步計出嚟。</t>
  </si>
  <si>
    <t>一部手機，一架鋼琴，一個女孩的自學之路 －[name removed] 親切共融潛能獎學金得獎者
現時，不少家長把鋼琴視為孩子成長路上的「必修課」，從小安排老師、一星期一堂，學琴彷彿是一件理所當然的事。
然而，對[name removed]而言，學鋼琴從來不是理所當然，而是一個遙不可及的夢。沒有老師、也沒有正式課堂，她只是靠著一部手機、一雙手，一遍又一遍跟著影片摸索，把一首完整的歌曲，從零開始慢慢彈出來。
她把對音樂的喜歡，一點一滴化成指尖上的旋律，也讓人看見她內心那份最真實、未經修飾的堅持。
//手鐘裡的第一顆音符//
[name removed]來自一個九兄弟姊妹的大家庭。
家裡孩子多，父母最大的心願，是照顧好一家人的生活起居，沒有餘裕安排每個孩子學習不同的興趣班。可是，從小開始，[name removed]對音樂總有一份特別的著迷。
她第一次接觸樂器，是中學時參與手鐘班。「當時每首歌要敲哪一個位置，其實我現在已經不太記得了。」[name removed]笑說。雖然細節已漸漸模糊，但那份投入，卻一直深深留在媽媽的記憶裡。
每逢老師安排練習，[name removed]總是認真反覆練習，把每一個節奏牢牢記住。「老師要求她練習，她一定會完成。我看得出，她是真的很喜歡音樂。」
從那時開始，音樂就在[name removed]心裡悄悄生了根。即使沒有機會接受正式訓練，那份熱愛卻從未因現實而消失，反而一直等待著，直到有一天再次發芽。
//姐姐放棄的琴鍵，變成她的世界//
故事的轉折，來自一部電子琴。爸爸買了它給姐姐，但姐姐忙於讀書，琴就這樣靜靜擱在家中。
[name removed]每次經過都忍不住按幾個琴鍵。「見到姐姐學，就覺得很好奇，有時會自己按一下琴鍵。」直到有一天，她在社交媒體看到別人彈鋼琴的影片，事情開始有了改變。
「我覺得他們彈得很厲害，音樂也很好聽，所以我也想學。」一句簡單的「想學」，卻成了她踏上自學鋼琴之路最純粹、最真實的起點。
//沒有老師，她便自己當自己的老師 //
沒有正式的老師，[name removed]由零開始學琴。不懂看琴譜，她就上YouTube找教學影片；不懂指法，就一遍又一遍盯著螢幕，看別人的手勢，再慢慢模仿。每一個音符，都是她一點一滴摸索出來。
她第一首完整學會的歌曲，是《蒲公英的約定》。 短短一首歌，她花了整整四個星期。
媽媽至今仍然記得第一次聽見[name removed]彈奏完整一首歌曲時的震撼。「除了手鐘之外，我從來沒有見過她這麼主動去學一樣東西。她完全沒有正式學過鋼琴，我真的沒有想過，她可以靠自己做到。」
每天放學回家，[name removed]第一件事不是玩手機，而是坐到電子琴前一遍又一遍練習，直到雙手慢慢記住每一個琴鍵的位置。 看見妹妹如此認真，姐姐也開始協助[name removed]學習。她在琴鍵上貼上一、二、三的標籤，幫助[name removed]記住位置。[name removed]每天練、每天練，貼紙都磨損了，[name removed]又找姐姐幫忙重新貼，再繼續練習。
媽媽笑著說：「她經常叫我坐下來，猜她彈的是哪一首歌。其實我完全不懂鋼琴，只能坐在旁邊，一首一首聽她彈。」
//最真實的渴望//
在整段自學旅程裡，有一件小事，媽媽一直記在心裡。全家人都知道[name removed]自學鋼琴後，姐姐特地到圖書館借來一疊琴譜，希望她可以學更多不同的歌曲。可是，琴譜翻開了，大家卻只能面面相覷。
「沒有正式學音樂，她不懂看，」媽媽苦笑說。[name removed]甚至把琴譜帶回學校請教同學，卻是同樣一句：「我也不懂。」
最後，那一疊滿載心意的琴譜，靜靜放在桌上，再也沒有被翻開。媽媽也因此明白，[name removed]渴望的，不只是彈出一首歌，而是真正學會看譜、讀懂音樂，憑自己的能力，把心裡每一首歌完整彈出來。
//首次登台//
今年，[name removed]迎來第一次公開鋼琴演出，與老師四手聯彈。中間雖然遇上長假期，她仍然每天在家練習一個多月。上台前，她只擔心一件事：「怕彈錯音。」表演結束後，她用了一個簡單卻真摯的詞形容當刻心情：「幸福」。
對一直靠自學摸索的[name removed]來說，這也是第一次有人一步一步教她看琴譜、認手指位置。「老師教我看譜，又教我手指擺法。」她說。那些曾經只能靠猜、靠記去學會的技巧，如今終於有人耐心教導。「起碼學會自己看譜。」一句簡單的話，道出了她一直以來最渴望得到的，不是一場掌聲，而是一個真正學習音樂的機會。
//一個獎學金，撐起一個女孩的夢//
今年，[name removed]憑著鋼琴，獲得「親切共融潛能獎學金」。對她而言，這份獎學金的意義，遠遠超過一筆資助。
她第一個願望很簡單：「我想正式學鋼琴。」媽媽坦言，一直以來，家中的經濟狀況未必能負擔鋼琴課、考試及其他學習開支，因此，[name removed]始終只能靠自己一步一步摸索。「我們未必有能力支持她考級、請老師，一直都希望將來有機會讓她正式學習。」
當知道自己得獎後，[name removed]興奮得第一時間與媽媽分享喜訊。「我收工回家，她已經急不及待跟我說：『我攞到！』」媽媽笑著憶述。[name removed]已開始計劃利用獎學金報讀鋼琴課，希望真正踏上學習音樂的路。
對媽媽而言，這份獎學金最大的意義，不是金錢，而是一份肯定。「這證明她一直以來的努力被看見，也證明她是真的喜歡音樂、想繼續學下去。如果這份獎學金能幫助她繼續追夢，我就已經很開心。」
//未來，仍有很多可能//
[name removed]有了自己的偶像——郎朗。
「她經常說，希望有一天可以跟他學琴。」媽媽笑著說。[name removed]追蹤著這位鋼琴家的演奏影片，雖然知道彼此距離遙遠，但每一次看著影片，她都會默默跟著學習，一點一點向心中的目標靠近。[name removed]用自己的方式，一步一步走近音樂。她相信，音樂沒有捷徑，卻願意為每一個認真努力的人，留下一條路。</t>
  </si>
  <si>
    <t>圖片（4 張）</t>
  </si>
  <si>
    <t>原來，世界有唔同嘅感受方式｜用聲音看空間
視障人士行路，係咪會冇方向感呢？
其實唔係！部分視障人士行路時會透過腳步聲、手杖敲地聲嘅回聲去判斷空間大小同物件距離。聲音反射返嚟嘅時間差，可以提示前面係牆、轉角，定係開揚空間。
不只聲音，仲會靠觸覺，如手杖、皮膚感覺；身體動作記憶；熟悉環境後的路徑記憶等去判斷方向～
但如果室內比較吸音，回聲反射較少，視障人士可能會較難從聲音判斷空間，少部分人會因而喺分辨方向上受到影響。
原來，空間唔一定要用眼睇，靠唔同嘅感觀都可以畫出地圖。</t>
  </si>
  <si>
    <t>【一句鼓勵，拉近彼此距離】
【A Word of Encouragement Brings People Closer】
早前，TCC Foundation 嘅義工同18位來自東華三院除展堂學校嘅輕至中度智力障礙同學，一齊玩咗半日健球。大家由零開始，練習傳球、發球、托球、熟習規矩，再一齊落場打比賽。雖然係第一次接觸呢項運動，但大家好快就培養到默契，一齊享受團隊合作嘅樂趣。
因為健球講求團隊合作，有啲同學會一時分心，義工會有耐性地叫同學個名，提醒佢哋要專心，又會用擊掌去鼓勵隊友。有義工分享，見到親切職員會用欣賞同鼓勵嘅態度同同學溝通，所以佢都不自覺參考，無論打唔打得中個波都畀手指公同學，鼓勵佢「係一個好嘗試～」。義工亦會耐心地畀機會同學仔嗌擊球口號，如果同學唔記得又會細細聲提佢，希望畀機會同學試多啲。大家好快就建立到信任～
老師分享，其中一位同學好鍾意畫畫，平時愛好都係比較文靜；呢一日喺義工嘅鼓勵下，及健球嘅團隊精神之中，呢位同學臉上露出好真摯嘅笑容，仲好投入參與整個活動，令老師都好感動。原來，一場健球體驗，大家收穫嘅唔止係團隊合作，更係學識欣賞彼此，相信每一個人都可以成為隊友，一齊完成目標。
Earlier, volunteers from the TCC Foundation spent half a day playing Kin-ball with 18 students with mild to moderate intellectual challenge from TWGHS Tsui Tsin Tong School. Starting from scratch, everyone learned how to pass, serve and support the ball, understood the rules, and eventually played a friendly match together. Although it was everyone's first time trying Kin-ball, they quickly built teamwork and enjoyed the fun of working together.
Because Kin-ball is all about teamwork, some students would occasionally lose focus during the game. The volunteers patiently called their names to help them re-engage and encouraged them with high fives and words of affirmation. One volunteer shared that they noticed the TREATS staff constantly communicating with the students through encouragement and positive reinforcement. Inspired by this, the volunteers naturally began doing the same—giving thumbs-ups and saying "Nice try!" regardless of whether the ball was hit successfully. They also patiently gave students time to call out the serving chant themselves, gently prompting them only when needed, so everyone had the chance to participate. Before long, trust and teamwork had grown naturally among the group.
The teacher shared, one of the students really loves drawing and usually prefers quieter activities. But on this day, encouraged by the volunteers and swept up in the team spirit of Kin-Ball, she remained fully engaged throughout the whole program, and a genuinely bright smile lit up her face—a sight that deeply moved the teacher. What everyone gained from the experience wasn't just teamwork—it was learning to appreciate one another and realising that everyone can be a valued teammate when given the opportunity to shine.</t>
  </si>
  <si>
    <t>【親切共融健球計劃2026】現正招募參加者
喺健球場上，冇人可以單靠自己完成比賽。每一次發球、接球，都需要全隊互相配合；每一位隊員都同樣重要，缺一不可。正因如此，健球唔單止係一項運動，更係一個讓人學習合作、互相信任、平等參與嘅平台。
親切一直相信，運動能夠打破界限，讓不同能力嘅年青人喺同一個球場上互相認識、彼此欣賞。今年，我哋繼續進行「親切共融健球計劃」，讓能力障礙青少年與主流義工成為拍檔，一齊接受專業健球教練指導，透過團隊合作打破隔膜，建立自信，發揮各自所長。
喺健球場上，每個人都係團隊不可或缺嘅一員，一齊為同一個目標努力。當大家透過健球彼此學習、彼此信任，就會發現，共融並唔係邊個幫邊個，而係每一個人都可以喺合作中學習，一齊成長。
無論你有冇健球經驗都唔使擔心！全個親切共融健球計劃都會由專業嘅親切同事設計，聯同專業健球教練一齊指導，過程仲會玩啲共融嘅熱身遊戲～。只要帶住一份勇氣，開放嘅心情認識新拍檔，就可以一齊體驗健球嘅樂趣，建立珍貴嘅友誼～
立即報名，一齊打破隔膜，體驗健球嘅樂趣！
 對象（共20人）
• 12－18歲特殊教育需要中學生
• 16歲或以上人士
（大埔區就讀或居住人士優先）
 費用：全免
 立即報名：https://forms.gle/VDVNqw2pwK67LR886
 查詢：2889 1332（[name removed]）
 WhatsApp：9592 2236（[name removed]）
計劃由李嘉誠基金會大埔宏福苑火災緊急援助基金資助</t>
  </si>
  <si>
    <t>【親切共融健球體驗日】打破對能力的想像
【Inclusive Kin-Ball Tasting Day】Breaking Perceptions Through Inclusion and Teamwork
7月初，我哋聯同牽手同行協會嘅同學及其家庭，以及 Hong Kong Aero Engine Services Limited 香港航空發動機維修服務有限公司嘅義工，舉辦咗一場親切共融健球體驗日，一齊組隊，透過健球認識彼此。
牽手同行協會嘅參加者都係先天手部缺失人士，有人除咗拇指之外，其他手指都較常人短；有人冇手掌；亦有人只有拇指。活動開始前，不少義工都唔認識健球呢項運動，同時亦都擔心自己同同學能唔能夠應付呢項運動。
但活動一開始，大家嘅疑問好快就變成驚喜。義工同同學閒談期間，發現原來有同學係高爾夫球好手，更曾代表香港到日本比賽；有同學係游泳健將，當義工分享自己游泳經歷時，先發現同學游得比自己快幾倍。
健球講求團隊合作，再厲害嘅人，都冇可能一個人接住個大球。正因如此，每位隊員都同樣重要。而同學仔手部嘅缺失，從來冇限制佢哋發揮運動才能。大家開始打健球比賽時，同學仔反應都好敏捷，一次又一次奮身救波；亦有同學擔任隊伍嘅「軍師」，分析場上形勢，提醒隊友戰術應該打向邊個方向。大家互相補位、互相鼓勵，無論係同學、家長定義工，都好快由陌生人變成隊友。
活動完結後，有義工分享：「同學仔能力超強，我哋都係聽佢嘅指令！」真正需要打破嘅，從來唔係能力嘅限制，而係我哋對能力嘅想像。
Earlier this July, TREATS partnered with students and families from the Hand-in-Hand Association, together with Hong Kong Aero Engine Services Limited ( HAESL) volunteers, for an Inclusive Kin-Ball Experience Day. By forming mixed teams, everyone had the opportunity to connect, collaborate and get to know one another through sport.
The students from the Hand-in-Hand Association were all born with upper limb differences. Some have shortened fingers apart from their thumbs, some were born without palms, while others have only a thumb. Before the activity began, many volunteers were unfamiliar with Kin-Ball and were concerned about whether both the students and the volunteers would be able to participate successfully
The answer came almost immediately. As volunteers chatted with the students, they discovered that one participant was an accomplished golfer who had represented Hong Kong in competitions in Japan. Another was a talented swimmer—so talented that one volunteer realised the student could swim three times faster than they could.
Kin-Ball is a sport that depends entirely on teamwork. No matter how skilled you are, no one can keep the giant ball in play alone. Every teammate has an important role to play.
When the games began, the students' upper limb differences never stopped them from showcasing their abilities. Some reacted quickly to make impressive saves, while others became the team's strategist, analysing the game and guiding teammates on where to attack next. As everyone encouraged and supported one another, students, parents and volunteers quickly went from strangers to teammates.
At the end of the day,  one volunteer shared "The students are incredibly capable—we were actually just following their lead!" .Perhaps what truly needs to change is not people's abilities, but the assumptions we make about them.</t>
  </si>
  <si>
    <t>圖片（11 張）</t>
  </si>
  <si>
    <t>【達成籌款目標】每一份支持，都成為他們的力量！
【Fundraising Goal Achieved】Every Contribution Helps Empower a Student
過去一個月親切設立籌款活動，希望籌到50,000港元，支持超過100位有特殊需要學生參加共融運動體驗、訓練及比賽。多謝每一位捐款者、支持者，因為有你哋嘅支持，我哋最終籌得港幣 $57,308！
每一份支持，都唔止係一筆捐款，更係陪伴一位同學相信自己、勇敢向前嘅力量。由第一次接觸運動，到慢慢建立自信、學習合作，再勇敢站上比賽場地，並喺一次又一次合作之中，感受到被接納、被信任，同埋屬於團隊嘅力量。
每一步成長，都離不開身邊每一位支持者。再次多謝每一位同行者，期待未來繼續與大家一齊，創造更多共融故事。
Over the past month, TREATS launched a fundraising campaign with the goal of raising HK$50,000 to support more than 100 students with special educational needs in participating in inclusive sports experiences, training and competitions.
Thanks to every donor and supporter, we are delighted to share that we achieved our goal, raising a total of HK$57,308!
Every contribution is more than a donation—it is a source of encouragement that helps a student believe in themselves and move forward with confidence.
From trying a sport for the very first time, to gradually building confidence, learning to work as a team, and eventually stepping onto the competition field, every experience helps them feel accepted, trusted, and valued as part of a team.
None of these moments of growth would be possible without the support of our community.Thank you once again to everyone who stood with us. We look forward to creating many more inclusive stories together.</t>
  </si>
  <si>
    <t>【走進專業課堂】向專業欖球教練偷師
【Inside a Professional Training Session】Learning from Professional Rugby Coaches
經過20多節「動起來！EM Teen 融樂運動培訓計劃」運動領袖訓練後，同學們由運動參加者，逐步成長為運動領袖。今次，佢哋更有機會到香港蘇格蘭人欖球會「睇堂」，觀摩專業欖球教練點樣帶領課堂，為將來成為運動導師作好準備。
喺六月尾，5位明愛胡振中書院同學，參與由畢馬威會計師事務所 (KPMG)與香港蘇格蘭人欖球會(Hong Kong Scottish Rugby)合作舉辦的欖球體驗活動。同學唔單止可以落場打欖球，更以「準運動領袖」嘅身份，學習欖球嘅團隊合作與溝通 ，細心觀察欖球會專業教練點樣帶領一堂運動課。由熱身、基本傳接球、踢球練習，到結合傳球同踢球元素嘅分組遊戲，再一步步提升至更具挑戰性嘅欖球競技活動，同學親身了解一個運動課堂背後嘅設計、點樣分工同舖排，仲學習到唔少帶領技巧。同學[name removed]形容：「今次真係一次好難忘嘅體驗！我學到好多嘢！」
活動尾段，教練安排胡振中書院同學同香港本地的小朋友混合組隊，一齊合作完成欖球小遊戲。喺球場上，大家無分背景、語言，一齊奔跑、合作、歡笑，透過運動建立友誼，感受團隊合作同共融嘅力量。[name removed]亦分享到：「最開心嘅莫過於可以同本地小朋友一齊做運動，透過體育互相交流，建立友誼。」
感謝 畢馬威會計師事務所 及 香港蘇格蘭人欖球會提供呢次寶貴嘅學習機會，讓同學唔單止學習專業教練嘅帶領技巧，更透過實踐體會運動點樣成為連繫不同背景人士嘅共同語言。
After completing more than 20 sessions of leadership training under the Sports Play Out! Sport Leader Training Programme, our students have grown from sports participants into aspiring sports leaders. This time, they had the opportunity to visit Hong Kong Scottish Rugby to observe first-hand how professional rugby coaches plan and deliver engaging sports lessons, preparing themselves to lead sports activities in the future.
In late June, five students from Caritas Wu Cheng-Chung College joined a rugby experience day organised by KPMG and Hong Kong Scottish Rugby. Besides taking to the field to experience rugby themselves, they also stepped into the role of "sports leaders in training", learning about teamwork and communication while closely observing how professional coaches conduct a sports session.
From warm-up activities and basic passing and kicking drills, to small-sided games that combined these skills before progressing to more challenging rugby activities, the students gained valuable insights into how a sports lesson is carefully planned, structured and facilitated. They also picked up practical leadership skills by observing how coaches guided participants throughout the session. Student [name removed] shared, "It was an amazing experience to observe how professional coaches lead with structured planning!"
Towards the end of the session, the coaches mixed the students Caritas Wu Cheng-Chung College with local children to form teams for fun rugby games. On the field, there were no barriers of background or language. Everyone ran, collaborated and laughed together, building friendships while experiencing the power of teamwork and inclusion through sport. [name removed] added, "It was also a nice experience to play alongside the local children and connect through sports."
A big thank you to KPMG and Hong Kong Scottish Rugby for providing this valuable learning opportunity. Beyond learning coaching and leadership techniques from professional coaches, our students also experienced first-hand how sport can become a universal language that connects people from different backgrounds.</t>
  </si>
  <si>
    <t>【 親切共融帆船計劃2026】現正招募隊員
如果你喜歡水上活動，鍾意挑戰自己，又想認識不同能力及背景嘅人，親切誠邀你加入親切共融帆船隊，一齊迎風、一齊面對未知。
親切共融帆船隊，每年都會讓主流義工夥拍能障青年，組成拍檔組，一齊學習駕駛帆船，面對海上各種挑戰。迎風、轉向。每一步都需要彼此信任、互相溝通，發揮各自所長。
當你真正揚帆出海，你會發現，你哋都會喺對方身上學到好多。因為共融並唔係邊個幫邊個，而係互相成就、互相支持。海上嘅風向瞬息萬變，一個人未必走得遠，但有個可靠嘅夥伴，就可以一齊迎風而上。今年11月仲會舉行「親切共融帆船賽2026」，讓每對拍檔將訓練成果化成默契，攜手迎接最後挑戰，一齊見證彼此嘅成長。
無論你有冇帆船經驗，都唔使擔心！全程都有專業教練指導。只要帶住一份勇氣，同一位夥伴一齊出海就足夠。
立即報名，同親切一齊乘風破浪！
 對象
• 12－18歲特殊教育需要中學生（6位）
• 12歲或以上人士（6位）
（大埔區就讀或居住人士優先）
 費用：全免
 立即報名：https://forms.gle/JzRcZRoVrc7R5Njc6
 查詢：2889 1332
 WhatsApp：9592 2236（[name removed]）
計劃由李嘉誠基金會大埔宏福苑火災緊急援助基金資助</t>
  </si>
  <si>
    <t>【一個安心睇戲嘅空間】 共享珍貴親子時光
【A Cinema Experience Without Worries】Sharing Precious Family Moments Together
一場電影，唔單止係兩個鐘嘅娛樂，更係一家人一齊創造回憶嘅美好時光。
對唔少有特殊教育需要同學仔嘅家庭嚟講，去戲院其實唔係一件咁容易嘅事。戲院昏暗嘅燈光、震撼嘅聲效，對唔少有特殊教育需要嘅小朋友嚟講，可能會帶來壓力；特別係對環境同聲音較敏感嘅自閉症孩子，未必容易適應。因此，有啲家長會擔心小朋友睇戲時有大反應，影響到其他觀眾，所以平時未必有機會一家人去戲院。
喺六月尾， TCC Foundation包咗場畀超過35位嚟自匡智張玉瓊晨輝學校嘅同學，同埋佢哋嘅家人，一齊入戲院欣賞新上映嘅《反斗奇兵5》，過咗一個充滿歡笑嘅晚上。今次包場，正正提供咗一個輕鬆又友善嘅環境，等每個家庭都可以放鬆心情，安心享受電影，一齊笑、一齊感動，享受難得嘅親子時光。
當日，TCC Foundation 義工仲為每個家庭準備咗爆谷，陪大家一齊投入電影世界；每位同學仲收到《反斗奇兵》主題文件夾做紀念，希望將呢份開心一直帶返屋企。
親切相信，共融始於創造一個讓每個人都感到自在、願意參與的空間。衷心感謝 TCC Foundation 藉著慶祝今年8月成立35周年，為同學同佢哋嘅家人送上一場電影，令每個家庭都可以無顧慮咁參與、開心咁享受每一個平凡但珍貴嘅時刻。
A trip to the cinema may seem simple, but for many families of children with special educational needs, it is not always an easy outing. The dim lighting and loud sound effects can be overwhelming, especially for children with autism spectrum disorder who may be more sensitive to sensory stimuli. Some parents worry that if their children become overwhelmed, they may disturb other moviegoers.
As a result, many families have fewer opportunities to enjoy the cinema together.
In late June, TCC Foundation sponsored more than 35 students from Hong Chi Winifred Mary Cheung Morninghope School and their families to enjoy a private screening of the newly released Toy Story 5. The exclusive screening created a welcoming and inclusive environment where families could simply relax and enjoy quality time together.
TCC Foundation volunteers also prepared popcorn for every family and presented each student with a Toy Story-themed file folder as a keepsake, making the day even more memorable.
At TREATS, we believe inclusion starts with creating spaces where everyone feels welcomed and comfortable to participate. We are grateful to TCC Foundation who is celebrating 35th anniversary this August by giving children and their families not only a movie, but also the opportunity to share joyful moments without barriers.
Thank you to the TCC Foundation for making inclusion come alive through your care and companionship.</t>
  </si>
  <si>
    <t>另一種可能                                                              /[name removed]    親切共融領袖獎學金得獎者 /
如果要[name removed]形容自己，他大概不會說自己是一個特別主動的人。遇到問題時，他習慣先觀察；有人吵架，他會避開；有人情緒激動，他會退後；即使在學校擔任班長，大部分時間也是按照老師的指示完成工作。「以前在學校見到同學爭執，我通常會交給老師處理。」
因此，當老師向他介紹第一屆「親切共融領袖獎學金計劃」時，他從來沒有想過這段經歷會讓他重新認識自己。幾個月後的自己，竟然會開始學習帶領活動、照顧同學，甚至思考投身社福界。
/期待與不安/
「我覺得挺好的，有獎學金，又可以做服務。」最初報名參加第一屆「親切共融領袖獎學金計劃」時，[name removed]的想法其實很簡單。老師介紹了這個計劃，他覺得既能參與服務，又能獲得獎學金，是一個難得的機會，於是決定嘗試。
他以為在親切中的實習，不外乎是在辦公室整理文件、對著電腦工作。後來才發現，原來還要跟著同事到不同學校和活動現場，接觸來自不同背景和能力的學生，甚至協助設計及帶領活動。
這份期待與緊張，幾乎是同時出現的。
期待的是，看見一班小學生蹦蹦跳跳地走進課室，有人主動跑過來打招呼，有人甜甜地叫他一聲「[name removed]」，那一刻令他特別難忘「他們真的可愛。」說起這些孩子時，他的語氣也不自覺地輕快起來。
但另一邊廂，他心裡一直有點不安。
過去他曾參加過共融活動，也接觸過有特殊教育需要的同學。有些同學很健談，願意分享自己的想法；有些則比較活潑，活動期間四處跑動，不太願意跟隨指示。作為參加者時，這些都只是有趣的觀察；但當自己的角色變成活動工作人員時，事情便不再一樣。
他開始思考很多以前不需要思考的問題。如果兩個性格截然不同的同學被分到同一組，會不會合作不了？如果同學之間出現磨擦怎麼辦？如果有人不願意合作怎麼辦？後來他才發現，原來帶領活動並沒有標準答案。
/比答案更重要的觀察/
有時候，一個看似完美的安排，未必會出現預期的結果；而活動帶領員需要做的，不是把所有事情控制得毫無意外，而是不斷觀察、不斷調整，嘗試理解每個人的特質和需要。
慢慢地，他發現自己其實很會觀察人。
他總會留意同學之間的互動，誰比較安靜、誰容易緊張、誰需要更多鼓勵。透過這些觀察，他甚至能夠協助同事安排分組，讓不同性格的同學可以有更好的配搭。
不過，讓[name removed]作出最大改變的，不是一場活動，而是一次衝突。
活動期間，一位特殊教育需要學生和另一位同學出現磨擦。當時的[name removed]站在旁邊，看著事情發生。「我不知道應否介入。」一方面擔心自己不懂處理；另一方面又怕被人覺得多管閒事，擔心介入後反而令事情變得更糟。「以前看到有人爭執，我會交給老師或其他人處理。」他形容自己是一個害怕衝突的人。後來，同事主動上前了解情況，協助他們化解誤會。那一刻，[name removed]明白原來處理衝突這件事，不是跟別人對抗。而是願意走近問題，再一步一步協助雙方溝通。
如果再遇到學生情緒激動時，他會開始嘗試留下來。先了解，再想下一步應該怎樣幫助對方。「第一件事是不要退縮。」雖然未必每次都能解決問題，但至少他願意留在現場。對[name removed]來說，這已經是一個很大的改變。
/第一次站到人群前面/
「我以前覺得自己不夠行動力，常常要人叫才會做。」[name removed]說，過去在學校擔任班長時，大部分工作都是跟隨老師指示完成。但在親切，他第一次需要自己構思活動流程、設計遊戲、準備物資，甚至思考每個環節背後的目的。
第一次由自己帶領小遊戲時，[name removed]把所有指示一次過講完，結果台下的學生一臉茫然，完全不知道應該做什麼。
活動結束後，他花了一整個午飯時段與同事檢討。他開始明白，真正的溝通不是把自己想說的話全部說出來，而是讓對方聽得明白。於是，在飯後第二次帶領活動時，他開始把指示拆細，一步一步講解；也學會先了解對方的能力和需要，再調整自己的表達方式。
這些經驗，慢慢累積成他的自信。
以前站在台上，看著台下的人群，他會緊張得口齒不清；但經過一次又一次的活動帶領後，他發現自己已經能夠清晰地向一班學生講解規則，也不再像從前那樣害怕別人的目光。
這份自信不是突然出現。而是在一次次嘗試裡，一點一滴建立起來。
/另一種溫柔的領導力/
這段實習經歷，也讓[name removed]重新認識社福工作的意義。
他原本以為，社工的工作主要是陪伴和聊天。真正接觸社福機構才發現，每一場活動背後都有大量準備工作，從聯絡學校、安排流程，到活動後的文件整理，每個環節都需要細心和耐性。
「原來沒有想像中那麼簡單。」他笑著說。但這些經歷他反而更確定自己的方向。
在接觸不同學生和服務的過程中，他開始留意到，社會上仍然有很多人面對著不同限制和困難。有些聲音也未必被聽見。他希望，將來可以成為幫助他們的人。
[name removed]這段經歷最大的收穫是他開始相信自己。相信自己不只是那個等待別人安排的人；相信自己能夠陪伴別人、照顧別人，甚至在需要的時候帶領別人。
或許有一天，他真的會成為一名社工。
但在那之前，[name removed]在一群孩子大喊「[name removed]」時，明白了另一種可能。可能領袖未必需要站在最前面；有時候，願意留心別人的需要、願意走近不同的人、願意在別人需要時伸出援手，同樣是一種領導力。而這份可能，正慢慢把他帶向自己想走的路。</t>
  </si>
  <si>
    <t>【親切共融潛能獎學金計劃2026】讓每一份天賦綻放光芒
【TREATS Inclusive Scholarship Scheme 2026】 Every Talent Deserves to Shine
上星期六「親切共融潛能獎學金計劃2026」頒獎禮圓滿舉行，近100位得獎同學、師長及親友聚首一堂，一齊見證同學仔努力嘅成果，分享屬於佢哋嘅喜悅。
親切一直相信，每一位同學都有屬於自己嘅天賦同潛能。希望透過獎學金，支持不同能力同背景嘅同學勇敢追夢、發展所長，亦讓更多人認識同欣賞佢哋嘅能力。
在 The Green Family Foundation 嘅慷慨贊助下，今屆頒發咗10個「親切共融潛能獎學金」（港幣$10,000）同5個「親切共融潛能新星」（港幣$5,000），支持更多同學發掘潛能、發揮所長。
此外，親切今年繼續設立3個「親切共融帆船獎學金」（港幣$10,000），鼓勵喺帆船運動上展現潛能同堅毅精神嘅同學繼續追夢。
衷心感謝 The Green Family Foundation 一直以來對共融教育嘅支持同信任，讓更多年輕人有機會發展潛能、建立自信，勇敢追尋夢想。
頒獎禮當日，幾位得獎同學更加親自展示自己嘅才華！我哋特別邀請咗獎學金得主[name removed]同學擔任司儀。[name removed]憑住出色嘅運動天份，成為咗學校嘅足球隊長，得到「親切共融潛能獎學金」；不過佢同樣有出色嘅主持技巧，表現自信又淡定，以流利嘅英文帶領全場流程。此外，我哋又邀請咗[name removed]同學為我哋表演咗兩首歌曲。用歌聲感動鼓舞各位得獎者及家長。
佢哋喺舞台上發光發亮，正正話畀我哋知，潛能從來唔只得一種。只要有機會、有支持，每一位同學都可以突破自己，發揮所長，勇敢追逐夢想。
Last Saturday, the TREATS Inclusive Scholarship Scheme 2026 Presentation Ceremony brought together nearly 100 award recipients, teachers, family members and friends to celebrate the students' achievements and share in their joy.
At TREATS, we believe that every student has unique talents and potential. Through the scholarship scheme, we hope to empower students of different abilities and backgrounds to pursue their dreams, develop their strengths, and help the wider community better recognise and appreciate their abilities.
With the generous support of The Green Family Foundation, this year's scheme presented 10 Inclusive Scholarship Awards (HK$10,000 each) and 5 Inclusive Rising Star Awards (HK$5,000 each), supporting more students in discovering and developing their potential.
In addition, TREATS continued to offer 3 Inclusive Sailing Scholarships (HK$10,000 each) to encourage students who have demonstrated potential and perseverance in sailing to continue pursuing their dreams.
We would like to express our heartfelt gratitude to The Green Family Foundation for its continued trust and support for inclusive education, creating opportunities for more young people to develop their potential, build confidence and pursue their dreams.
The ceremony was made even more special as several award recipients showcased their talents on stage. We were delighted to invite [name removed], one of the recipients of the Inclusive Scholarship Awards, to serve as the event emcee. A talented athlete and captain of his school's football team, [name removed] also demonstrated outstanding presentation skills, confidently leading the ceremony with his fluent English.
We were also honoured to have [name removed] perform two songs, touching and inspiring the audience with her heartfelt singing.
Their performances reminded us that potential comes in many different forms. With the right opportunities and support, every student can discover their strengths, overcome challenges, and shine in their own unique way while pursuing their dreams.</t>
  </si>
  <si>
    <t>【親切共融龍舟賽2026圓滿舉行】風雨無阻划出共融力量！
【TREATS Inclusive Dragon Boat Race 2026 Successfully Concluded】Paddling Together Through Rain and Shine!
剛過去嘅端午節，「親切共融龍舟賽2026」喺大埔海濱公園圓滿舉行。七隊由能力障礙人士及主流義工組成嘅共融龍舟隊，喺300米短途賽中一較高下，以汗水、默契同堅持展現共融精神。
賽事能夠順利舉行實在得來不易。比賽前一日，天文台兩度懸掛黑色暴雨警告信號，大家都擔心天氣會影響賽事。幸好天公造美，比賽當日雖然偶有微雨，但好快便停下來，讓所有隊伍能夠順利完成賽事。
除咗賽道上嘅激烈比拼，更令我哋感動嘅係來自社區嘅支持。今年親切有幸於歷史悠久嘅「大埔區龍舟競賽暨嘉年華」中舉辦共融龍舟賽，將共融精神帶入社區。不少大埔街坊特意留低觀賽，為參賽隊伍吶喊打氣；嘉年華攤位亦吸引眾多市民參與，大家更喺打氣板上寫低一句句鼓勵說話，為參賽者送上祝福同支持。
衷心感謝所有參賽者、義工、大埔體育會、合作伙伴、贊助機構，以及每一位到場支持嘅朋友。因為有大家嘅參與同支持，令呢場龍舟賽唔止係一場比賽，更成為一個讓不同能力人士一同發光、彼此鼓勵嘅共融舞台。
親切共融龍舟賽2026賽果
TREATS Inclusive Dragon Boat Race 2026 Results
冠軍：親切共融龍舟隊- 信飛龍 (親切同學 X 中信證券國際）
亞軍：親切共融龍舟隊- 噴火龍 (匡智張玉瓊晨輝學校 X 羅兵咸永道會計師事務所）
季軍：BST•同舟共濟 B  (聖雅各福群會 復康服務)
殿軍：BST•同舟共濟 A  (聖雅各福群會 復康服務)
優異：Love 21 Foundation x 香港遊艇會龍舟隊B隊（Love 21 Foundation x 香港遊艇會）
優異：Love 21 Foundation x 香港遊艇會龍舟隊A隊（Love 21 Foundation x 香港遊艇會）
優異：親切共融龍舟隊- 慈嶺龍（匡智松嶺學校 X 慈山寺佛法心靈輔導中心）
最具團隊士氣獎：親切共融龍舟隊- 噴火龍 (匡智張玉瓊晨輝學校 X 羅兵咸永道會計師事務所）
堅毅精神獎：親切共融龍舟隊- 慈嶺龍（匡智松嶺學校 X 慈山寺佛法心靈輔導中心）
計劃由李嘉誠基金會大埔宏福苑火災緊急援助基金資助
This programme is sponsored by the Li Ka Shing Foundation Tai Po Wang Fuk Court Fire Emergency Relief Fund.
For English version, please visit our Facebook page</t>
  </si>
  <si>
    <t>【親切共融領袖獎學金計劃】同學踏出舒適圈
【TREATS Inclusive Leader Scholarship Scheme】Stepping Out of the Comfort Zone
上星期，我哋喺「親切共融領袖獎學金計劃」頒獎禮上見證咗一班得獎同學嘅努力同成長。 今個星期，同大家重溫 [name removed] 嘅實習故事。喺咖啡店實習期間，佢學習沖咖啡、招呼客人，仲參與市集攤檔運作。由緊張到慢慢建立信心，呢段旅程令佢踏出舒適圈，嘗試更多以前未做過嘅事。
[name removed] 用自己步伐走進社會，探索更多可能。一齊睇下佢嘅故事！
再次感謝 Mordril Properties Limited 嘅慷慨贊助，以及 Beyond Coffee &amp; Bar 提供寶貴嘅工作體驗機會，令參加者能喺真實工作環境中學習、建立自信，勇敢踏出舒適圈。
Last week, we celebrated the dedication and growth of our award recipients at the TREATS Inclusive Leader Scholarship Scheme ceremony. This week, we revisit [name removed]'s internship journey.
During his time at a café, [name removed] learned to brew coffee, serve customers, and take part in the operations of a market stall. From feeling nervous to gradually building confidence, this experience pushed him to step outside his comfort zone and try things he had never done before.
[name removed] is moving at his own pace — exploring society and discovering what's possible. Let's take a look at his story!
A big thank you to Mordril Properties Limited for their sponsorship, and to Beyond Coffee &amp; Bar for providing our participants with this invaluable work experience!
YOUTUBE.COM
【親切共融領袖獎學金計劃】實習讓同學踏出舒適圈</t>
  </si>
  <si>
    <t>【親切共融龍舟賽2026】首度走進大埔龍舟盛事！
【TREATS Inclusive Dragon Boat Race 2026】Making Its Debut at Tai Po’s Dragon Boat Festival!
下星期就係端午節喇！除咗食糉應節之外，不妨入場感受下龍舟競渡嘅熱血氣氛！今年親切有幸參與歷史悠久嘅「大埔區龍舟競賽暨嘉年華」，並喺其中一節賽事舉辦「親切共融龍舟賽2026」。希望透過龍舟運動將共融精神同正能量帶到大埔，畀更多人睇到不同能力人士嘅潛能，同時推動建立更包容嘅社區。
各隊由特殊需要學生同企業義工組成嘅隊伍，正密鑼緊鼓進行最後備戰，希望以最佳狀態迎接比賽。不過，最近天公似乎想考驗下大家嘅決心。上星期六，PwC義工隊與匡智張玉瓊晨輝學校同學一齊訓練，出海約30分鐘後突然遇上狂風雷暴，需要緊急回岸。雖然全隊人都被淋到全身濕透，但換衫後大家冇提早收工，反而繼續進行陸上訓練同戰術部署。面對惡劣天氣，無論義工定同學都無怨言，堅持完成訓練，展現出團隊精神同毅力。
除咗呢隊之外，慈山寺佛法心靈輔導中心義工，及匡智松嶺學校特殊需要學生亦會喺今個星期日進行最後一次集訓。見到各隊全力備戰，就知道當日賽事一定相當精彩！
龍舟賽當日，親切亦會喺嘉年華設置遊戲攤位同籌款活動，希望為100位有特殊需要學生籌集港幣50,000元，讓他們參與共融運動體驗、訓練及比賽。由初次接觸運動，到一步步建立自信、學習合作，甚至勇敢站上比賽場地，每一次參與都係特殊需要學生成長嘅機會。你嘅支持，可以幫助更多學生重拾自信同笑容。
誠邀大家端午節當日親身到場，為一班努力訓練嘅親切共融龍舟隊打氣，一齊見證共融龍舟隊嘅精彩表現！
The Dragon Boat Festival is just around the corner! Besides enjoying rice dumplings, come and experience the excitement of dragon boat racing with us.
This year, TREATS is honoured to take part in the Tai Po District Dragon Boat Race cum Carnival 2026 and host the TREATS Inclusive Dragon Boat Race as one of the featured races. Through dragon boat racing, we hope to bring inclusion and positive energy to the Tai Po community while showcasing the abilities and potential of people with different needs.
Our teams, made up of students with special educational needs and corporate volunteers, are now in their final preparations. Seeing every team train so hard, we are certain that race day will be full of excitement and inspiring moments.
In addition to the dragon boat race, TREATS will be running game booths and fundraising activities at the carnival  with the goal of raising HKD50,000 to support 100 students with special educational needs to participate in inclusive sports experiences, training programmes, and competitions.
From trying a sport for the first time, to building confidence, learning teamwork, and eventually stepping onto the competition stage, every opportunity to participate helps students grow and thrive. Your support can help more students regain confidence and discover their potential.
We warmly invite you to join us on race day, cheer on our TREATS Inclusive Dragon Boat teams, and witness the power of inclusion in action!
計劃由李嘉誠基金會大埔宏福苑火災緊急援助基金資助
This programme is sponsored by the Li Ka Shing Foundation Tai Po Wang Fuk Court Fire Emergency Relief Fund.</t>
  </si>
  <si>
    <t>影片</t>
  </si>
  <si>
    <t>到場打氣、捐款</t>
  </si>
  <si>
    <t>【第一屆「親切共融領袖獎學金計劃」】頒獎禮圓滿舉行
【TREATS Inclusive Leader Scholarship Scheme】Award Presentation Ceremony Successfully Held
喺剛過去嘅星期六，第一屆「親切共融領袖獎學金計劃」頒獎禮圓滿舉行，恭喜10位得獎同學！
當中，6位「親切共融領袖獎學金」得獎者各獲港幣$5,000獎學金；並分別前往唔同機構完成實習。踏上一段屬於自己嘅成長旅程，發掘潛能，學習服務社會。有同學去咗咖啡店工作，學習運用自己嘅能力服務社區；亦有同學嚟到親切實習，由零開始學習籌備同執行活動，了解活動背後嘅準備工作，並喺過程中學習解決問題，逐步發揮領導才能。
另外4位獲頒「親切社區服務新星」嘅同學，則各獲港幣$2,500獎學金，及透過參與親切活動實習，協助活動順利進行，累積服務經驗，建立自信，踏出成長嘅一步。
最令人感動嘅係，喺頒獎禮當日，6位共融領袖獎學金得獎者擔任唔同崗位，將實習期間學到嘅知識同技巧學以致用。有同學擔任司儀；有同學帶領自己設計嘅遊戲活動；有同學負責接待工作；亦有同學喺餐飲區沖咖啡畀嘉賓，甚至成功克服自己唔擅長嘅範疇，主動用英文同外籍嘉賓溝通。
好欣慰見到同學仔喺短短兩個月入面有咁大進步，由嘗試、學習，到今日能夠獨當一面。每一個突破、每一份勇氣，都見證住佢哋嘅成長。
衷心感謝 Mordril Properties Limited 嘅慷慨支持，為同學提供寶貴嘅學習同實踐機會，讓佢哋有空間發掘潛能、建立自信，學習成為共融領袖。
The Award Presentation Ceremony of the inaugural “TREATS Inclusive Leader Scholarship Scheme” was successfully held last Saturday. Congratulations to all 10 award recipients.
Among them, six recipients of the “TREATS Inclusive Leader Scholarship” each received a HK$5,000 scholarship and completed internships at various organisations. Through these experiences, they embarked on meaningful personal growth journeys—discovering their potential, strengthening their skills, and learning how to contribute to the community. Some gained hands-on experience working in a café, applying their strengths to serve others, while others joined TREATS as interns, where they learned to plan and execute programmes from the ground up, understand behind-the-scenes operations, and develop problem-solving and leadership skills.
The remaining four recipients were awarded the “TREATS Community Services Rising Star Award,” each receiving a HK$2,500 scholarship. They also participated in internship experiences through TREATS programmes, supporting event operations, building confidence, and gaining valuable community service experience.
One of the most inspiring highlights of the ceremony was seeing the six Inclusive Leader Scholarship recipients put their learning into practice. They took on various roles throughout the event—serving as MCs, leading games they had designed, managing guest reception, and preparing coffee in the refreshment area. Notably, one student stepped out of their comfort zone and confidently communicated with international guests in English.
We are truly encouraged by the remarkable progress these students have made in just two months. From trying something new, to learning and growing, to independently taking on responsibilities, each step reflects their courage and development.
Our heartfelt thanks go to Mordril Properties Limited for their generous support in making this programme possible. Their contribution has provided invaluable learning and practical opportunities, empowering students to build confidence, realise their potential, and grow into inclusive leaders.</t>
  </si>
  <si>
    <t>【第一屆親切共融手綿球比賽圓滿舉行】由陌生隊友變成最佳拍檔！
第一屆親切共融手綿球比賽喺上星期六圓滿舉行！由才俊學校聯同林村公立黃福鑾紀念學校，組成9隊雙打拍檔，展開一場既緊張又充滿歡笑嘅手綿球比賽。
今次比賽最重要唔係比賽結果，而係每位同學嘅成長歷程。望住才俊學校嘅同學仔由一開始對手綿球一無所知，到慢慢掌握技巧，再到比賽當日能夠自信咁發球、接球，同拍檔並肩作戰。喺黃福鑾紀念學校同學仔嘅鼓勵同陪伴下，大家一步一步突破自己，展現出無比嘅勇氣同堅持。
當日除咗有精彩賽事之外，仲有參與親切「動起來！EM Teen融樂運動培訓計劃2025－運動領袖訓練」嘅16位來自明愛胡振中書院嘅少數族裔青年到場支援。佢哋化身運動領袖，同各隊拍檔組一齊分析形勢、商討比賽策略，為球員打氣，令比賽增添更多交流同合作嘅機會。
比賽結束後，同學們更互相交換象徵友誼嘅手繩。呢條小小嘅手繩，不單止連繫住兩位拍檔，更承載住一路同行、互相支持嘅珍貴回憶。透過運動，大家由陌生變熟悉，由隊友變朋友，真正體現因為接觸而了解，因為了解而共融嘅精神。
恭喜所有得獎同學：
冠軍
Team 4　[name removed]／[name removed]
亞軍
Team 1　[name removed]／[name removed]
季軍
Team 7　[name removed]／[name removed]
殿軍
Team 3　[name removed]／[name removed]
堅毅精神獎
Team 9　[name removed]／[name removed]
最佳拍檔獎
Team 1　[name removed]／[name removed]
優異獎 ：
Team 6 [name removed] / [name removed]
Team 9 [name removed] / [name removed]
Team 5 [name removed] / [name removed]
Team 2 [name removed] / [name removed]
Team 8 [name removed] / [name removed]
親切將手綿球賽帶入大埔，希望透過運動凝聚不同背景、不同能力嘅朋友，為社區注入更多共融同正能量，讓友誼同關愛喺大埔持續傳遞。無論名次如何，努力踏上球場嘅同學都已經係贏家。期待未來有更多同學透過手綿球相遇、合作，同創造更多屬於共融嘅精彩故事！
計劃由李嘉誠基金會大埔宏福苑火災緊急援助基金資助</t>
  </si>
  <si>
    <t>統計（自動計算，供寫觀察用）</t>
  </si>
  <si>
    <t>已抄帖子數</t>
  </si>
  <si>
    <t>平均讚好</t>
  </si>
  <si>
    <t>對象：家長</t>
  </si>
  <si>
    <t>對象：學校</t>
  </si>
  <si>
    <t>對象：義工或企業夥伴</t>
  </si>
  <si>
    <t>對象：捐款人或資助方</t>
  </si>
  <si>
    <t>對象：一般公眾</t>
  </si>
  <si>
    <t>有齊行動資料（是）</t>
  </si>
  <si>
    <t>三條觀察（課件第 42 頁）</t>
  </si>
  <si>
    <t>每條都要對應上週的一個概念，並附證據。完成後存進小組文件夾。</t>
  </si>
  <si>
    <t>觀察</t>
  </si>
  <si>
    <t>要回答的問題</t>
  </si>
  <si>
    <t>我們的觀察</t>
  </si>
  <si>
    <t>證據（網站頁面／帖子編號）</t>
  </si>
  <si>
    <t>網站和 Facebook 主要對哪類讀者說話？忽略了哪類？</t>
  </si>
  <si>
    <t>網站 25 頁中，主要對象是一般公眾 9 頁、家長 5 頁、學校 4 頁、義工或企業夥伴 3 頁、捐款人或資助方 3 頁；Facebook 30 則帖子中，一般公眾16則、義工或企業夥伴7則，合共占約77%，直接對家長說話只有3則，且全是招募帖。內容多是活動報道、人物故事和感謝夥伴，較少是面向家長的資訊。被忽略的是家長作為決策者：他們要在報名前判斷活動適不適合孩子，但兩個平台都沒有專為家長整理的資訊。</t>
  </si>
  <si>
    <t>網站頁面表：親子共融教育、戶外體驗、共融運動、青少年培育等 10 個服務頁；Facebook：帖子 #7、#6、#11、#13、#18、#22；對象與語言見「網站頁面表」C、M 欄及「Facebook帖子」I 欄</t>
  </si>
  <si>
    <t>編碼化</t>
  </si>
  <si>
    <t>有多少項目頁或帖子提供了家長行動所需的資料（年齡、日期、費用、報名方法）？</t>
  </si>
  <si>
    <t>網站的10個服務沒有一頁同時寫明年齡、日期、費用和報名方法，全部沒有具體日期和報名方式。獎學金頁有金額，但都沒有申請方法及截止日期。Facebook 的8則活動宣傳帖中，有6則提到報名或查詢，但只有共融健球體驗及訓練同時有日期、年齡、費用和報名方法；整體 30 則帖子只有 1 則資料齊全。</t>
  </si>
  <si>
    <t>網站頁面表 F、H、I、J 欄（服務頁全為 not stated）；Facebook帖子 K 欄：只有 #7 為「是」；#6、#11、#13、#18、#22 缺日期或費用</t>
  </si>
  <si>
    <t>一致性</t>
  </si>
  <si>
    <t>同一個項目在網站和 Facebook 上的細節是否一致？</t>
  </si>
  <si>
    <t>有幾個項目在兩個平台的細節不一致或不同步：(1) 龍舟：網站寫共融龍舟隊參加「西貢區龍舟競渡」特能龍舟賽，Facebook #26、#28 則說 2026 年在大埔區龍舟競賽暨嘉年華舉行；(2) 潛能獎學金：網站寫每年最多 10 名、每名 $10,000，Facebook #25 說今年另有 5 個「潛能新星」（$5,000）和 3 個帆船獎學金（$10,000）；(3) 領袖獎學金：網站只提 $5,000，Facebook #29 還有 4 個「社區服務新星」（$2,500）；(4) 青少年共融大使訓練計劃：網站寫 9 個月、每年 120 位學生，Facebook #11 寫 2026 年 9 月至 2027 年 6 月（約 10 個月）；(5) 少數族裔計劃：網站只列「動起來！少數族裔青年運動導師培訓計劃」，Facebook 出現 EM SPARK（#6）和 EM Teen 培訓（#12）；(6) 健球：網站只提 2019 年起的健球盃，Facebook 有 2026 年的健球計劃（#18）和體驗日（#19）。整體看，網站像是靜態、較舊的版本，Facebook 才反映最新做法，家長若只看網站，會得到過時或不完整的資料。</t>
  </si>
  <si>
    <t>網站頁面表：共融運動、青少年培育、少數族裔服務、親切共融領袖獎學金、親切共融潛能獎學金；Facebook帖子 #6、#11、#12、#18、#19、#25、#26、#28、#29（建議交作業前逐項對照原網站與原帖子）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</si>
</sst>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1"/>
    </font>
    <font>
      <b/>
      <sz val="14"/>
      <name val="Noto Sans CJK SC"/>
      <family val="2"/>
    </font>
    <font>
      <b/>
      <sz val="14"/>
      <name val="Arial"/>
      <family val="2"/>
    </font>
    <font>
      <i/>
      <sz val="9"/>
      <color rgb="FF666666"/>
      <name val="Noto Sans CJK SC"/>
      <family val="2"/>
    </font>
    <font>
      <b/>
      <sz val="10"/>
      <color rgb="FFFFFFFF"/>
      <name val="Arial"/>
      <family val="2"/>
    </font>
    <font>
      <b/>
      <sz val="10"/>
      <color rgb="FFFFFFFF"/>
      <name val="Noto Sans CJK SC"/>
      <family val="2"/>
    </font>
    <font>
      <sz val="10"/>
      <name val="Noto Sans CJK SC"/>
      <family val="2"/>
    </font>
    <font>
      <sz val="10"/>
      <name val="Arial"/>
      <family val="2"/>
    </font>
    <font>
      <b/>
      <sz val="11"/>
      <name val="Noto Sans CJK SC"/>
      <family val="2"/>
    </font>
    <font>
      <b/>
      <sz val="12"/>
      <name val="Noto Sans CJK SC"/>
      <family val="2"/>
    </font>
    <font>
      <i/>
      <sz val="10"/>
      <color rgb="FF808080"/>
      <name val="Noto Sans CJK SC"/>
      <family val="2"/>
    </font>
    <font>
      <i/>
      <sz val="10"/>
      <color rgb="FF808080"/>
      <name val="Arial"/>
      <family val="2"/>
    </font>
    <font>
      <sz val="9"/>
      <name val="FangSong"/>
      <family val="3"/>
      <charset val="134"/>
    </font>
    <font>
      <b/>
      <sz val="14"/>
      <name val="Microsoft YaHei"/>
      <family val="2"/>
      <charset val="134"/>
    </font>
    <font>
      <sz val="10"/>
      <color rgb="FFFF0000"/>
      <name val="Noto Sans CJK SC"/>
      <family val="2"/>
    </font>
    <font>
      <sz val="11"/>
      <color rgb="FFFF0000"/>
      <name val="Calibri"/>
      <family val="2"/>
      <charset val="1"/>
    </font>
    <font>
      <u/>
      <sz val="11"/>
      <color theme="10"/>
      <name val="Calibri"/>
      <family val="2"/>
      <charset val="1"/>
    </font>
    <font>
      <sz val="11"/>
      <color rgb="FF000000"/>
      <name val="Calibri"/>
      <family val="2"/>
      <charset val="1"/>
    </font>
    <font>
      <sz val="10"/>
      <name val="Noto Sans CJK SC"/>
    </font>
  </fonts>
  <fills count="6">
    <fill>
      <patternFill patternType="none"/>
    </fill>
    <fill>
      <patternFill patternType="gray125"/>
    </fill>
    <fill>
      <patternFill patternType="solid">
        <fgColor rgb="FF1F3A8A"/>
        <bgColor rgb="FF003366"/>
      </patternFill>
    </fill>
    <fill>
      <patternFill patternType="solid">
        <fgColor rgb="FFFFF9C4"/>
        <bgColor rgb="FFFFFF99"/>
      </patternFill>
    </fill>
    <fill>
      <patternFill patternType="solid">
        <fgColor theme="6" tint="0.79998168889431442"/>
        <bgColor indexed="64"/>
      </patternFill>
    </fill>
    <fill>
      <patternFill patternType="solid">
        <fgColor theme="6" tint="0.79998168889431442"/>
        <bgColor rgb="FFFFFF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6" fillId="0" borderId="0" applyNumberFormat="0" applyFill="0" applyBorder="0" applyAlignment="0" applyProtection="0"/>
  </cellStyleXfs>
  <cellXfs count="31">
    <xf numFmtId="0" fontId="0" fillId="0" borderId="0" xfId="0"/>
    <xf numFmtId="0" fontId="1" fillId="0" borderId="0" xfId="0" applyFont="1"/>
    <xf numFmtId="0" fontId="3" fillId="0" borderId="0" xfId="0" applyFont="1"/>
    <xf numFmtId="0" fontId="4" fillId="2" borderId="1" xfId="0" applyFont="1" applyFill="1" applyBorder="1" applyAlignment="1">
      <alignment vertical="top" wrapText="1"/>
    </xf>
    <xf numFmtId="0" fontId="5" fillId="2"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6" fillId="3" borderId="1" xfId="0" applyFont="1" applyFill="1" applyBorder="1" applyAlignment="1">
      <alignment vertical="top" wrapText="1"/>
    </xf>
    <xf numFmtId="0" fontId="8" fillId="0" borderId="0" xfId="0" applyFont="1"/>
    <xf numFmtId="0" fontId="9" fillId="0" borderId="0" xfId="0" applyFont="1"/>
    <xf numFmtId="0" fontId="5" fillId="2" borderId="1" xfId="0" applyFont="1" applyFill="1" applyBorder="1"/>
    <xf numFmtId="0" fontId="6" fillId="0" borderId="0" xfId="0" applyFont="1"/>
    <xf numFmtId="0" fontId="2" fillId="0" borderId="0" xfId="0" applyFont="1"/>
    <xf numFmtId="0" fontId="10" fillId="0" borderId="1" xfId="0" applyFont="1" applyBorder="1" applyAlignment="1">
      <alignment vertical="top" wrapText="1"/>
    </xf>
    <xf numFmtId="0" fontId="11" fillId="0" borderId="1" xfId="0" applyFont="1" applyBorder="1" applyAlignment="1">
      <alignment vertical="top" wrapText="1"/>
    </xf>
    <xf numFmtId="0" fontId="7" fillId="3" borderId="1" xfId="0" applyFont="1" applyFill="1" applyBorder="1" applyAlignment="1">
      <alignment vertical="top" wrapText="1"/>
    </xf>
    <xf numFmtId="14" fontId="6" fillId="3" borderId="1" xfId="0" applyNumberFormat="1" applyFont="1" applyFill="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0" fillId="4" borderId="0" xfId="0" applyFill="1"/>
    <xf numFmtId="0" fontId="7" fillId="4" borderId="1" xfId="0" applyFont="1" applyFill="1" applyBorder="1" applyAlignment="1">
      <alignment vertical="top" wrapText="1"/>
    </xf>
    <xf numFmtId="0" fontId="14" fillId="0" borderId="1" xfId="0" applyFont="1" applyBorder="1" applyAlignment="1">
      <alignment vertical="top" wrapText="1"/>
    </xf>
    <xf numFmtId="0" fontId="14" fillId="3" borderId="1" xfId="0" applyFont="1" applyFill="1" applyBorder="1" applyAlignment="1">
      <alignment vertical="top" wrapText="1"/>
    </xf>
    <xf numFmtId="0" fontId="15" fillId="0" borderId="0" xfId="0" applyFont="1"/>
    <xf numFmtId="0" fontId="16" fillId="3" borderId="1" xfId="1" applyFill="1" applyBorder="1" applyAlignment="1">
      <alignment vertical="top" wrapText="1"/>
    </xf>
    <xf numFmtId="0" fontId="17" fillId="3" borderId="1" xfId="1" applyFont="1" applyFill="1" applyBorder="1" applyAlignment="1">
      <alignment vertical="top" wrapText="1"/>
    </xf>
    <xf numFmtId="0" fontId="17" fillId="0" borderId="0" xfId="0" applyFont="1"/>
    <xf numFmtId="14" fontId="18" fillId="3" borderId="1" xfId="0" applyNumberFormat="1" applyFont="1" applyFill="1" applyBorder="1" applyAlignment="1">
      <alignment vertical="top" wrapText="1"/>
    </xf>
    <xf numFmtId="0" fontId="6" fillId="0" borderId="0" xfId="0" applyFont="1"/>
    <xf numFmtId="0" fontId="0" fillId="0" borderId="0" xfId="0"/>
    <xf numFmtId="0" fontId="7" fillId="0" borderId="0" xfId="0" applyFont="1"/>
  </cellXfs>
  <cellStyles count="2">
    <cellStyle name="Hyperlink" xfId="1" xr:uid="{00000000-000B-0000-0000-000008000000}"/>
    <cellStyle name="常规" xfId="0" builtinId="0"/>
  </cellStyles>
  <dxfs count="1">
    <dxf>
      <fill>
        <patternFill>
          <bgColor rgb="FFC8E6C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C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3A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reats.org.hk/treat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treats.org.hk/treats-whats-inclusion/" TargetMode="External"/><Relationship Id="rId7" Type="http://schemas.openxmlformats.org/officeDocument/2006/relationships/hyperlink" Target="https://treats.org.hk/scholarship/" TargetMode="External"/><Relationship Id="rId2" Type="http://schemas.openxmlformats.org/officeDocument/2006/relationships/hyperlink" Target="https://treats.org.hk/treats/" TargetMode="External"/><Relationship Id="rId1" Type="http://schemas.openxmlformats.org/officeDocument/2006/relationships/hyperlink" Target="https://treats.org.hk/" TargetMode="External"/><Relationship Id="rId6" Type="http://schemas.openxmlformats.org/officeDocument/2006/relationships/hyperlink" Target="https://treats.org.hk/fun-to-go-&#20849;&#34701;&#36938;&#27138;guide/" TargetMode="External"/><Relationship Id="rId5" Type="http://schemas.openxmlformats.org/officeDocument/2006/relationships/hyperlink" Target="https://treats.org.hk/treats-finances/" TargetMode="External"/><Relationship Id="rId4" Type="http://schemas.openxmlformats.org/officeDocument/2006/relationships/hyperlink" Target="https://treats.org.hk/treats-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showGridLines="0" zoomScale="115" zoomScaleNormal="100" workbookViewId="0">
      <pane ySplit="4" topLeftCell="A5" activePane="bottomLeft" state="frozen"/>
      <selection pane="bottomLeft" activeCell="G14" sqref="G14"/>
    </sheetView>
  </sheetViews>
  <sheetFormatPr baseColWidth="10" defaultColWidth="8.6640625" defaultRowHeight="15"/>
  <cols>
    <col min="1" max="1" width="7" customWidth="1"/>
    <col min="2" max="2" width="30" customWidth="1"/>
    <col min="3" max="3" width="62" customWidth="1"/>
    <col min="4" max="5" width="12" customWidth="1"/>
    <col min="6" max="6" width="24" customWidth="1"/>
  </cols>
  <sheetData>
    <row r="1" spans="1:6" ht="21.5" customHeight="1">
      <c r="A1" s="1" t="s">
        <v>0</v>
      </c>
    </row>
    <row r="2" spans="1:6" ht="15" customHeight="1">
      <c r="A2" s="2" t="s">
        <v>1</v>
      </c>
    </row>
    <row r="4" spans="1:6" ht="15" customHeight="1">
      <c r="A4" s="3" t="s">
        <v>2</v>
      </c>
      <c r="B4" s="4" t="s">
        <v>3</v>
      </c>
      <c r="C4" s="4" t="s">
        <v>4</v>
      </c>
      <c r="D4" s="4" t="s">
        <v>5</v>
      </c>
      <c r="E4" s="4" t="s">
        <v>6</v>
      </c>
      <c r="F4" s="4" t="s">
        <v>7</v>
      </c>
    </row>
    <row r="5" spans="1:6" ht="29.75" customHeight="1">
      <c r="A5" s="5" t="s">
        <v>8</v>
      </c>
      <c r="B5" s="6" t="s">
        <v>9</v>
      </c>
      <c r="C5" s="5" t="s">
        <v>10</v>
      </c>
      <c r="D5" s="7" t="s">
        <v>11</v>
      </c>
      <c r="E5" s="7" t="s">
        <v>12</v>
      </c>
      <c r="F5" s="7"/>
    </row>
    <row r="6" spans="1:6" s="19" customFormat="1" ht="29.75" customHeight="1">
      <c r="A6" s="17" t="s">
        <v>13</v>
      </c>
      <c r="B6" s="17" t="s">
        <v>14</v>
      </c>
      <c r="C6" s="17" t="s">
        <v>15</v>
      </c>
      <c r="D6" s="18"/>
      <c r="E6" s="18" t="s">
        <v>12</v>
      </c>
      <c r="F6" s="18"/>
    </row>
    <row r="7" spans="1:6" s="19" customFormat="1" ht="29.75" customHeight="1">
      <c r="A7" s="17" t="s">
        <v>16</v>
      </c>
      <c r="B7" s="20" t="s">
        <v>17</v>
      </c>
      <c r="C7" s="17" t="s">
        <v>18</v>
      </c>
      <c r="D7" s="18"/>
      <c r="E7" s="18" t="s">
        <v>12</v>
      </c>
      <c r="F7" s="18"/>
    </row>
    <row r="8" spans="1:6" s="23" customFormat="1" ht="21" customHeight="1">
      <c r="A8" s="21" t="s">
        <v>19</v>
      </c>
      <c r="B8" s="21" t="s">
        <v>20</v>
      </c>
      <c r="C8" s="21" t="s">
        <v>21</v>
      </c>
      <c r="D8" s="22" t="s">
        <v>11</v>
      </c>
      <c r="E8" s="22" t="s">
        <v>12</v>
      </c>
      <c r="F8" s="22"/>
    </row>
    <row r="9" spans="1:6" ht="15" customHeight="1">
      <c r="A9" s="5" t="s">
        <v>22</v>
      </c>
      <c r="B9" s="5" t="s">
        <v>23</v>
      </c>
      <c r="C9" s="5" t="s">
        <v>24</v>
      </c>
      <c r="D9" s="7" t="s">
        <v>25</v>
      </c>
      <c r="E9" s="7" t="s">
        <v>26</v>
      </c>
      <c r="F9" s="7"/>
    </row>
    <row r="10" spans="1:6" ht="15" customHeight="1">
      <c r="A10" s="5" t="s">
        <v>27</v>
      </c>
      <c r="B10" s="5" t="s">
        <v>28</v>
      </c>
      <c r="C10" s="5" t="s">
        <v>29</v>
      </c>
      <c r="D10" s="7"/>
      <c r="E10" s="7" t="s">
        <v>26</v>
      </c>
      <c r="F10" s="7"/>
    </row>
    <row r="12" spans="1:6" ht="15" customHeight="1">
      <c r="B12" s="8" t="s">
        <v>30</v>
      </c>
      <c r="C12" s="8" t="str">
        <f>COUNTIF(E5:E10,"已完成")&amp;" / "&amp;COUNTA(B5:B10)</f>
        <v>4 / 6</v>
      </c>
    </row>
    <row r="14" spans="1:6" ht="15" customHeight="1">
      <c r="B14" s="9" t="s">
        <v>31</v>
      </c>
    </row>
    <row r="15" spans="1:6" ht="15" customHeight="1">
      <c r="B15" s="10" t="s">
        <v>32</v>
      </c>
      <c r="C15" s="10" t="s">
        <v>33</v>
      </c>
      <c r="D15" s="10" t="s">
        <v>34</v>
      </c>
    </row>
    <row r="16" spans="1:6" ht="58.25" customHeight="1">
      <c r="B16" s="6" t="s">
        <v>35</v>
      </c>
      <c r="C16" s="5" t="s">
        <v>36</v>
      </c>
      <c r="D16" s="5" t="s">
        <v>37</v>
      </c>
    </row>
    <row r="17" spans="2:6" ht="26.75" customHeight="1">
      <c r="B17" s="6" t="s">
        <v>38</v>
      </c>
      <c r="C17" s="5" t="s">
        <v>39</v>
      </c>
      <c r="D17" s="5" t="s">
        <v>40</v>
      </c>
    </row>
    <row r="18" spans="2:6" ht="15" customHeight="1">
      <c r="B18" s="6" t="s">
        <v>41</v>
      </c>
      <c r="C18" s="5" t="s">
        <v>42</v>
      </c>
      <c r="D18" s="5" t="s">
        <v>43</v>
      </c>
    </row>
    <row r="19" spans="2:6" ht="26.75" customHeight="1">
      <c r="B19" s="6" t="s">
        <v>44</v>
      </c>
      <c r="C19" s="5" t="s">
        <v>45</v>
      </c>
      <c r="D19" s="5" t="s">
        <v>46</v>
      </c>
    </row>
    <row r="20" spans="2:6" ht="26.75" customHeight="1">
      <c r="B20" s="6" t="s">
        <v>47</v>
      </c>
      <c r="C20" s="5" t="s">
        <v>48</v>
      </c>
      <c r="D20" s="5" t="s">
        <v>49</v>
      </c>
    </row>
    <row r="21" spans="2:6" ht="15" customHeight="1">
      <c r="B21" s="6" t="s">
        <v>50</v>
      </c>
      <c r="C21" s="5" t="s">
        <v>51</v>
      </c>
      <c r="D21" s="5" t="s">
        <v>52</v>
      </c>
    </row>
    <row r="23" spans="2:6" ht="19.5" customHeight="1">
      <c r="B23" s="9"/>
    </row>
    <row r="24" spans="2:6" ht="15" customHeight="1">
      <c r="B24" s="28"/>
      <c r="C24" s="29"/>
      <c r="D24" s="29"/>
      <c r="E24" s="29"/>
      <c r="F24" s="29"/>
    </row>
    <row r="25" spans="2:6" ht="15" customHeight="1">
      <c r="B25" s="28"/>
      <c r="C25" s="29"/>
      <c r="D25" s="29"/>
      <c r="E25" s="29"/>
      <c r="F25" s="29"/>
    </row>
    <row r="26" spans="2:6" ht="15" customHeight="1">
      <c r="B26" s="28"/>
      <c r="C26" s="29"/>
      <c r="D26" s="29"/>
      <c r="E26" s="29"/>
      <c r="F26" s="29"/>
    </row>
    <row r="27" spans="2:6" ht="15" customHeight="1">
      <c r="B27" s="30"/>
      <c r="C27" s="29"/>
      <c r="D27" s="29"/>
      <c r="E27" s="29"/>
      <c r="F27" s="29"/>
    </row>
  </sheetData>
  <mergeCells count="4">
    <mergeCell ref="B26:F26"/>
    <mergeCell ref="B25:F25"/>
    <mergeCell ref="B27:F27"/>
    <mergeCell ref="B24:F24"/>
  </mergeCells>
  <phoneticPr fontId="12" type="noConversion"/>
  <conditionalFormatting sqref="E5:E10">
    <cfRule type="cellIs" dxfId="0" priority="2" operator="equal">
      <formula>"已完成"</formula>
    </cfRule>
  </conditionalFormatting>
  <dataValidations count="1">
    <dataValidation type="list" allowBlank="1" sqref="E5:E10" xr:uid="{00000000-0002-0000-0000-000000000000}">
      <formula1>"未開始,進行中,已完成"</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showGridLines="0" zoomScaleNormal="100" workbookViewId="0">
      <pane ySplit="4" topLeftCell="A5" activePane="bottomLeft" state="frozen"/>
      <selection pane="bottomLeft" activeCell="C6" sqref="C6"/>
    </sheetView>
  </sheetViews>
  <sheetFormatPr baseColWidth="10" defaultColWidth="8.6640625" defaultRowHeight="15"/>
  <cols>
    <col min="1" max="1" width="5" customWidth="1"/>
    <col min="2" max="2" width="30" customWidth="1"/>
    <col min="3" max="3" width="16" customWidth="1"/>
    <col min="4" max="4" width="30" customWidth="1"/>
    <col min="5" max="5" width="36" customWidth="1"/>
    <col min="6" max="6" width="32.5" customWidth="1"/>
    <col min="7" max="7" width="12" customWidth="1"/>
    <col min="8" max="8" width="36" customWidth="1"/>
  </cols>
  <sheetData>
    <row r="1" spans="1:8" ht="21.5" customHeight="1">
      <c r="A1" s="12" t="s">
        <v>53</v>
      </c>
    </row>
    <row r="2" spans="1:8" ht="15" customHeight="1">
      <c r="A2" s="2" t="s">
        <v>54</v>
      </c>
    </row>
    <row r="4" spans="1:8" ht="15" customHeight="1">
      <c r="A4" s="3" t="s">
        <v>2</v>
      </c>
      <c r="B4" s="4" t="s">
        <v>55</v>
      </c>
      <c r="C4" s="4" t="s">
        <v>56</v>
      </c>
      <c r="D4" s="4" t="s">
        <v>57</v>
      </c>
      <c r="E4" s="4" t="s">
        <v>58</v>
      </c>
      <c r="F4" s="4" t="s">
        <v>59</v>
      </c>
      <c r="G4" s="4" t="s">
        <v>60</v>
      </c>
      <c r="H4" s="4" t="s">
        <v>61</v>
      </c>
    </row>
    <row r="5" spans="1:8" ht="53.25" customHeight="1">
      <c r="A5" s="6" t="s">
        <v>62</v>
      </c>
      <c r="B5" s="5" t="s">
        <v>63</v>
      </c>
      <c r="C5" s="5" t="s">
        <v>64</v>
      </c>
      <c r="D5" s="5" t="s">
        <v>65</v>
      </c>
      <c r="E5" s="7" t="s">
        <v>66</v>
      </c>
      <c r="F5" s="7" t="s">
        <v>67</v>
      </c>
      <c r="G5" s="16">
        <v>46122</v>
      </c>
      <c r="H5" s="7" t="s">
        <v>68</v>
      </c>
    </row>
    <row r="6" spans="1:8" ht="90.75" customHeight="1">
      <c r="A6" s="6" t="s">
        <v>69</v>
      </c>
      <c r="B6" s="5" t="s">
        <v>70</v>
      </c>
      <c r="C6" s="5" t="s">
        <v>71</v>
      </c>
      <c r="D6" s="5" t="s">
        <v>72</v>
      </c>
      <c r="E6" s="7" t="s">
        <v>73</v>
      </c>
      <c r="F6" s="25" t="s">
        <v>74</v>
      </c>
      <c r="G6" s="27">
        <v>46122</v>
      </c>
      <c r="H6" s="7" t="s">
        <v>75</v>
      </c>
    </row>
    <row r="7" spans="1:8" ht="145.5" customHeight="1">
      <c r="A7" s="6" t="s">
        <v>76</v>
      </c>
      <c r="B7" s="5" t="s">
        <v>77</v>
      </c>
      <c r="C7" s="5" t="s">
        <v>78</v>
      </c>
      <c r="D7" s="5" t="s">
        <v>79</v>
      </c>
      <c r="E7" s="7" t="s">
        <v>80</v>
      </c>
      <c r="F7" s="7" t="s">
        <v>81</v>
      </c>
      <c r="G7" s="27">
        <v>46122</v>
      </c>
      <c r="H7" s="7" t="s">
        <v>82</v>
      </c>
    </row>
    <row r="8" spans="1:8" ht="192.75" customHeight="1">
      <c r="A8" s="6" t="s">
        <v>83</v>
      </c>
      <c r="B8" s="5" t="s">
        <v>84</v>
      </c>
      <c r="C8" s="5" t="s">
        <v>85</v>
      </c>
      <c r="D8" s="5" t="s">
        <v>79</v>
      </c>
      <c r="E8" s="7" t="s">
        <v>86</v>
      </c>
      <c r="F8" s="7" t="s">
        <v>87</v>
      </c>
      <c r="G8" s="27">
        <v>46122</v>
      </c>
      <c r="H8" s="7" t="s">
        <v>88</v>
      </c>
    </row>
    <row r="9" spans="1:8" ht="57" customHeight="1">
      <c r="A9" s="6" t="s">
        <v>89</v>
      </c>
      <c r="B9" s="6" t="s">
        <v>90</v>
      </c>
      <c r="C9" s="5" t="s">
        <v>91</v>
      </c>
      <c r="D9" s="5" t="s">
        <v>79</v>
      </c>
      <c r="E9" t="s">
        <v>92</v>
      </c>
      <c r="F9" s="24" t="s">
        <v>93</v>
      </c>
      <c r="G9" s="27">
        <v>46122</v>
      </c>
      <c r="H9" s="7" t="s">
        <v>94</v>
      </c>
    </row>
    <row r="10" spans="1:8">
      <c r="E10" s="26"/>
    </row>
  </sheetData>
  <phoneticPr fontId="12" type="noConversion"/>
  <hyperlinks>
    <hyperlink ref="F9" r:id="rId1" xr:uid="{6C95753F-5318-41C7-86A7-19DCF745276F}"/>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2"/>
  <sheetViews>
    <sheetView showGridLines="0" zoomScaleNormal="100" workbookViewId="0">
      <pane ySplit="4" topLeftCell="A5" activePane="bottomLeft" state="frozen"/>
      <selection pane="bottomLeft" activeCell="P7" sqref="P7"/>
    </sheetView>
  </sheetViews>
  <sheetFormatPr baseColWidth="10" defaultColWidth="8.6640625" defaultRowHeight="15"/>
  <cols>
    <col min="1" max="1" width="22" customWidth="1"/>
    <col min="2" max="2" width="26" customWidth="1"/>
    <col min="3" max="3" width="16" customWidth="1"/>
    <col min="4" max="4" width="26" customWidth="1"/>
    <col min="5" max="5" width="14" customWidth="1"/>
    <col min="6" max="9" width="8" customWidth="1"/>
    <col min="10" max="11" width="10" customWidth="1"/>
    <col min="12" max="12" width="22" customWidth="1"/>
    <col min="13" max="15" width="12" customWidth="1"/>
    <col min="16" max="16" width="8" customWidth="1"/>
  </cols>
  <sheetData>
    <row r="1" spans="1:16" ht="21.5" customHeight="1">
      <c r="A1" s="1" t="s">
        <v>95</v>
      </c>
    </row>
    <row r="2" spans="1:16" ht="15" customHeight="1">
      <c r="A2" s="2" t="s">
        <v>96</v>
      </c>
    </row>
    <row r="4" spans="1:16" ht="15" customHeight="1">
      <c r="A4" s="4" t="s">
        <v>97</v>
      </c>
      <c r="B4" s="4" t="s">
        <v>98</v>
      </c>
      <c r="C4" s="4" t="s">
        <v>99</v>
      </c>
      <c r="D4" s="4" t="s">
        <v>100</v>
      </c>
      <c r="E4" s="4" t="s">
        <v>101</v>
      </c>
      <c r="F4" s="4" t="s">
        <v>102</v>
      </c>
      <c r="G4" s="4" t="s">
        <v>103</v>
      </c>
      <c r="H4" s="4" t="s">
        <v>104</v>
      </c>
      <c r="I4" s="4" t="s">
        <v>32</v>
      </c>
      <c r="J4" s="4" t="s">
        <v>105</v>
      </c>
      <c r="K4" s="4" t="s">
        <v>106</v>
      </c>
      <c r="L4" s="4" t="s">
        <v>107</v>
      </c>
      <c r="M4" s="4" t="s">
        <v>108</v>
      </c>
      <c r="N4" s="4" t="s">
        <v>109</v>
      </c>
      <c r="O4" s="4" t="s">
        <v>60</v>
      </c>
      <c r="P4" s="4" t="s">
        <v>110</v>
      </c>
    </row>
    <row r="5" spans="1:16" ht="23.75" customHeight="1">
      <c r="A5" s="13" t="s">
        <v>111</v>
      </c>
      <c r="B5" s="14" t="s">
        <v>112</v>
      </c>
      <c r="C5" s="13" t="s">
        <v>113</v>
      </c>
      <c r="D5" s="13" t="s">
        <v>114</v>
      </c>
      <c r="E5" s="13" t="s">
        <v>115</v>
      </c>
      <c r="F5" s="14" t="s">
        <v>116</v>
      </c>
      <c r="G5" s="14" t="s">
        <v>117</v>
      </c>
      <c r="H5" s="14" t="s">
        <v>117</v>
      </c>
      <c r="I5" s="14" t="s">
        <v>117</v>
      </c>
      <c r="J5" s="13" t="s">
        <v>118</v>
      </c>
      <c r="K5" s="14" t="s">
        <v>117</v>
      </c>
      <c r="L5" s="13" t="s">
        <v>119</v>
      </c>
      <c r="M5" s="13" t="s">
        <v>120</v>
      </c>
      <c r="N5" s="14" t="s">
        <v>117</v>
      </c>
      <c r="O5" s="14" t="s">
        <v>121</v>
      </c>
      <c r="P5" s="13" t="s">
        <v>122</v>
      </c>
    </row>
    <row r="6" spans="1:16" ht="15" customHeight="1">
      <c r="A6" s="7" t="s">
        <v>123</v>
      </c>
      <c r="B6" s="24" t="s">
        <v>124</v>
      </c>
      <c r="C6" s="15" t="s">
        <v>125</v>
      </c>
      <c r="D6" s="7" t="s">
        <v>126</v>
      </c>
      <c r="E6" s="15" t="s">
        <v>127</v>
      </c>
      <c r="F6" s="7" t="s">
        <v>117</v>
      </c>
      <c r="G6" s="7" t="s">
        <v>117</v>
      </c>
      <c r="H6" s="7" t="s">
        <v>117</v>
      </c>
      <c r="I6" s="7" t="s">
        <v>117</v>
      </c>
      <c r="J6" s="7" t="s">
        <v>117</v>
      </c>
      <c r="K6" s="7" t="s">
        <v>117</v>
      </c>
      <c r="L6" s="7" t="s">
        <v>117</v>
      </c>
      <c r="M6" s="7" t="s">
        <v>120</v>
      </c>
      <c r="N6" s="7" t="s">
        <v>117</v>
      </c>
      <c r="O6" s="16">
        <v>46286</v>
      </c>
      <c r="P6" s="15" t="s">
        <v>122</v>
      </c>
    </row>
    <row r="7" spans="1:16" ht="15" customHeight="1">
      <c r="A7" s="7" t="s">
        <v>128</v>
      </c>
      <c r="B7" s="24" t="s">
        <v>93</v>
      </c>
      <c r="C7" s="15" t="s">
        <v>125</v>
      </c>
      <c r="D7" s="7" t="s">
        <v>129</v>
      </c>
      <c r="E7" s="15" t="s">
        <v>127</v>
      </c>
      <c r="F7" s="7" t="s">
        <v>117</v>
      </c>
      <c r="G7" s="7" t="s">
        <v>130</v>
      </c>
      <c r="H7" s="7" t="s">
        <v>117</v>
      </c>
      <c r="I7" s="7" t="s">
        <v>117</v>
      </c>
      <c r="J7" s="7" t="s">
        <v>117</v>
      </c>
      <c r="K7" s="7" t="s">
        <v>117</v>
      </c>
      <c r="L7" s="7" t="s">
        <v>131</v>
      </c>
      <c r="M7" s="7" t="s">
        <v>120</v>
      </c>
      <c r="N7" s="7" t="s">
        <v>117</v>
      </c>
      <c r="O7" s="16">
        <v>46286</v>
      </c>
      <c r="P7" s="15" t="s">
        <v>122</v>
      </c>
    </row>
    <row r="8" spans="1:16" ht="15" customHeight="1">
      <c r="A8" s="7" t="s">
        <v>132</v>
      </c>
      <c r="B8" s="24" t="s">
        <v>133</v>
      </c>
      <c r="C8" s="15" t="s">
        <v>125</v>
      </c>
      <c r="D8" s="7" t="s">
        <v>134</v>
      </c>
      <c r="E8" s="15" t="s">
        <v>127</v>
      </c>
      <c r="F8" s="7" t="s">
        <v>117</v>
      </c>
      <c r="G8" s="7" t="s">
        <v>117</v>
      </c>
      <c r="H8" s="7" t="s">
        <v>117</v>
      </c>
      <c r="I8" s="7" t="s">
        <v>117</v>
      </c>
      <c r="J8" s="7" t="s">
        <v>117</v>
      </c>
      <c r="K8" s="7" t="s">
        <v>117</v>
      </c>
      <c r="L8" s="7" t="s">
        <v>135</v>
      </c>
      <c r="M8" s="7" t="s">
        <v>120</v>
      </c>
      <c r="N8" s="7" t="s">
        <v>117</v>
      </c>
      <c r="O8" s="16">
        <v>46286</v>
      </c>
      <c r="P8" s="15" t="s">
        <v>122</v>
      </c>
    </row>
    <row r="9" spans="1:16" ht="15" customHeight="1">
      <c r="A9" s="7" t="s">
        <v>136</v>
      </c>
      <c r="B9" s="24" t="s">
        <v>137</v>
      </c>
      <c r="C9" s="15" t="s">
        <v>125</v>
      </c>
      <c r="D9" s="7" t="s">
        <v>138</v>
      </c>
      <c r="E9" s="15" t="s">
        <v>127</v>
      </c>
      <c r="F9" s="7" t="s">
        <v>117</v>
      </c>
      <c r="G9" s="7" t="s">
        <v>117</v>
      </c>
      <c r="H9" s="7" t="s">
        <v>117</v>
      </c>
      <c r="I9" s="7" t="s">
        <v>117</v>
      </c>
      <c r="J9" s="7" t="s">
        <v>117</v>
      </c>
      <c r="K9" s="7" t="s">
        <v>117</v>
      </c>
      <c r="L9" s="7" t="s">
        <v>117</v>
      </c>
      <c r="M9" s="7" t="s">
        <v>120</v>
      </c>
      <c r="N9" s="7" t="s">
        <v>117</v>
      </c>
      <c r="O9" s="16">
        <v>46286</v>
      </c>
      <c r="P9" s="15" t="s">
        <v>122</v>
      </c>
    </row>
    <row r="10" spans="1:16" ht="15" customHeight="1">
      <c r="A10" s="7" t="s">
        <v>139</v>
      </c>
      <c r="B10" s="7" t="s">
        <v>140</v>
      </c>
      <c r="C10" s="15" t="s">
        <v>141</v>
      </c>
      <c r="D10" s="7" t="s">
        <v>142</v>
      </c>
      <c r="E10" s="15" t="s">
        <v>127</v>
      </c>
      <c r="F10" s="7" t="s">
        <v>117</v>
      </c>
      <c r="G10" s="7" t="s">
        <v>143</v>
      </c>
      <c r="H10" s="7" t="s">
        <v>117</v>
      </c>
      <c r="I10" s="7" t="s">
        <v>117</v>
      </c>
      <c r="J10" s="7" t="s">
        <v>117</v>
      </c>
      <c r="K10" s="7" t="s">
        <v>117</v>
      </c>
      <c r="L10" s="7" t="s">
        <v>144</v>
      </c>
      <c r="M10" s="7" t="s">
        <v>120</v>
      </c>
      <c r="N10" s="7" t="s">
        <v>117</v>
      </c>
      <c r="O10" s="16">
        <v>46286</v>
      </c>
      <c r="P10" s="15"/>
    </row>
    <row r="11" spans="1:16" ht="15" customHeight="1">
      <c r="A11" s="7" t="s">
        <v>145</v>
      </c>
      <c r="B11" s="7" t="s">
        <v>146</v>
      </c>
      <c r="C11" s="15" t="s">
        <v>113</v>
      </c>
      <c r="D11" s="7" t="s">
        <v>147</v>
      </c>
      <c r="E11" s="15" t="s">
        <v>127</v>
      </c>
      <c r="F11" s="7" t="s">
        <v>117</v>
      </c>
      <c r="G11" s="7" t="s">
        <v>148</v>
      </c>
      <c r="H11" s="7" t="s">
        <v>117</v>
      </c>
      <c r="I11" s="7" t="s">
        <v>117</v>
      </c>
      <c r="J11" s="7" t="s">
        <v>117</v>
      </c>
      <c r="K11" s="7" t="s">
        <v>117</v>
      </c>
      <c r="L11" s="7" t="s">
        <v>149</v>
      </c>
      <c r="M11" s="7" t="s">
        <v>120</v>
      </c>
      <c r="N11" s="7" t="s">
        <v>117</v>
      </c>
      <c r="O11" s="16">
        <v>46286</v>
      </c>
      <c r="P11" s="15"/>
    </row>
    <row r="12" spans="1:16" ht="15" customHeight="1">
      <c r="A12" s="7" t="s">
        <v>150</v>
      </c>
      <c r="B12" s="7" t="s">
        <v>151</v>
      </c>
      <c r="C12" s="15" t="s">
        <v>141</v>
      </c>
      <c r="D12" s="7" t="s">
        <v>152</v>
      </c>
      <c r="E12" s="15" t="s">
        <v>127</v>
      </c>
      <c r="F12" s="7" t="s">
        <v>117</v>
      </c>
      <c r="G12" s="7" t="s">
        <v>153</v>
      </c>
      <c r="H12" s="7" t="s">
        <v>117</v>
      </c>
      <c r="I12" s="7" t="s">
        <v>117</v>
      </c>
      <c r="J12" s="7" t="s">
        <v>117</v>
      </c>
      <c r="K12" s="7" t="s">
        <v>117</v>
      </c>
      <c r="L12" s="7" t="s">
        <v>154</v>
      </c>
      <c r="M12" s="7" t="s">
        <v>120</v>
      </c>
      <c r="N12" s="7" t="s">
        <v>117</v>
      </c>
      <c r="O12" s="16">
        <v>46286</v>
      </c>
      <c r="P12" s="15"/>
    </row>
    <row r="13" spans="1:16" ht="15" customHeight="1">
      <c r="A13" s="7" t="s">
        <v>155</v>
      </c>
      <c r="B13" s="7" t="s">
        <v>156</v>
      </c>
      <c r="C13" s="15" t="s">
        <v>157</v>
      </c>
      <c r="D13" s="7" t="s">
        <v>158</v>
      </c>
      <c r="E13" s="15" t="s">
        <v>127</v>
      </c>
      <c r="F13" s="7" t="s">
        <v>117</v>
      </c>
      <c r="G13" s="7" t="s">
        <v>159</v>
      </c>
      <c r="H13" s="7" t="s">
        <v>117</v>
      </c>
      <c r="I13" s="7" t="s">
        <v>160</v>
      </c>
      <c r="J13" s="7" t="s">
        <v>117</v>
      </c>
      <c r="K13" s="7" t="s">
        <v>117</v>
      </c>
      <c r="L13" s="7" t="s">
        <v>161</v>
      </c>
      <c r="M13" s="7" t="s">
        <v>120</v>
      </c>
      <c r="N13" s="7" t="s">
        <v>117</v>
      </c>
      <c r="O13" s="16">
        <v>46286</v>
      </c>
      <c r="P13" s="15"/>
    </row>
    <row r="14" spans="1:16" ht="15" customHeight="1">
      <c r="A14" s="7" t="s">
        <v>162</v>
      </c>
      <c r="B14" s="7" t="s">
        <v>163</v>
      </c>
      <c r="C14" s="15" t="s">
        <v>141</v>
      </c>
      <c r="D14" s="7" t="s">
        <v>164</v>
      </c>
      <c r="E14" s="15" t="s">
        <v>127</v>
      </c>
      <c r="F14" s="7" t="s">
        <v>117</v>
      </c>
      <c r="G14" s="7" t="s">
        <v>165</v>
      </c>
      <c r="H14" s="7" t="s">
        <v>117</v>
      </c>
      <c r="I14" s="7" t="s">
        <v>166</v>
      </c>
      <c r="J14" s="7" t="s">
        <v>117</v>
      </c>
      <c r="K14" s="7" t="s">
        <v>117</v>
      </c>
      <c r="L14" s="7" t="s">
        <v>167</v>
      </c>
      <c r="M14" s="7" t="s">
        <v>120</v>
      </c>
      <c r="N14" s="7" t="s">
        <v>117</v>
      </c>
      <c r="O14" s="16">
        <v>46286</v>
      </c>
      <c r="P14" s="15"/>
    </row>
    <row r="15" spans="1:16" ht="15" customHeight="1">
      <c r="A15" s="7" t="s">
        <v>168</v>
      </c>
      <c r="B15" s="7" t="s">
        <v>169</v>
      </c>
      <c r="C15" s="15" t="s">
        <v>125</v>
      </c>
      <c r="D15" s="7" t="s">
        <v>170</v>
      </c>
      <c r="E15" s="15" t="s">
        <v>127</v>
      </c>
      <c r="F15" s="7" t="s">
        <v>117</v>
      </c>
      <c r="G15" s="7" t="s">
        <v>171</v>
      </c>
      <c r="H15" s="7" t="s">
        <v>117</v>
      </c>
      <c r="I15" s="7" t="s">
        <v>117</v>
      </c>
      <c r="J15" s="7" t="s">
        <v>117</v>
      </c>
      <c r="K15" s="7" t="s">
        <v>117</v>
      </c>
      <c r="L15" s="7" t="s">
        <v>172</v>
      </c>
      <c r="M15" s="7" t="s">
        <v>120</v>
      </c>
      <c r="N15" s="7" t="s">
        <v>117</v>
      </c>
      <c r="O15" s="16">
        <v>46286</v>
      </c>
      <c r="P15" s="15"/>
    </row>
    <row r="16" spans="1:16" ht="15" customHeight="1">
      <c r="A16" s="7" t="s">
        <v>173</v>
      </c>
      <c r="B16" s="7" t="s">
        <v>174</v>
      </c>
      <c r="C16" s="15" t="s">
        <v>125</v>
      </c>
      <c r="D16" s="7" t="s">
        <v>175</v>
      </c>
      <c r="E16" s="15" t="s">
        <v>127</v>
      </c>
      <c r="F16" s="7" t="s">
        <v>117</v>
      </c>
      <c r="G16" s="7" t="s">
        <v>176</v>
      </c>
      <c r="H16" s="7" t="s">
        <v>117</v>
      </c>
      <c r="I16" s="7" t="s">
        <v>177</v>
      </c>
      <c r="J16" s="7" t="s">
        <v>117</v>
      </c>
      <c r="K16" s="7" t="s">
        <v>117</v>
      </c>
      <c r="L16" s="7" t="s">
        <v>178</v>
      </c>
      <c r="M16" s="7" t="s">
        <v>120</v>
      </c>
      <c r="N16" s="7" t="s">
        <v>117</v>
      </c>
      <c r="O16" s="16">
        <v>46286</v>
      </c>
      <c r="P16" s="15"/>
    </row>
    <row r="17" spans="1:16" ht="15" customHeight="1">
      <c r="A17" s="7" t="s">
        <v>179</v>
      </c>
      <c r="B17" s="7" t="s">
        <v>180</v>
      </c>
      <c r="C17" s="15" t="s">
        <v>141</v>
      </c>
      <c r="D17" s="7" t="s">
        <v>181</v>
      </c>
      <c r="E17" s="15" t="s">
        <v>127</v>
      </c>
      <c r="F17" s="7" t="s">
        <v>117</v>
      </c>
      <c r="G17" s="7" t="s">
        <v>117</v>
      </c>
      <c r="H17" s="7" t="s">
        <v>117</v>
      </c>
      <c r="I17" s="7" t="s">
        <v>117</v>
      </c>
      <c r="J17" s="7" t="s">
        <v>117</v>
      </c>
      <c r="K17" s="7" t="s">
        <v>117</v>
      </c>
      <c r="L17" s="7" t="s">
        <v>182</v>
      </c>
      <c r="M17" s="7" t="s">
        <v>120</v>
      </c>
      <c r="N17" s="7" t="s">
        <v>117</v>
      </c>
      <c r="O17" s="16">
        <v>46286</v>
      </c>
      <c r="P17" s="15"/>
    </row>
    <row r="18" spans="1:16" ht="15" customHeight="1">
      <c r="A18" s="7" t="s">
        <v>183</v>
      </c>
      <c r="B18" s="7" t="s">
        <v>184</v>
      </c>
      <c r="C18" s="15" t="s">
        <v>113</v>
      </c>
      <c r="D18" s="7" t="s">
        <v>185</v>
      </c>
      <c r="E18" s="15" t="s">
        <v>127</v>
      </c>
      <c r="F18" s="7" t="s">
        <v>117</v>
      </c>
      <c r="G18" s="7" t="s">
        <v>186</v>
      </c>
      <c r="H18" s="7" t="s">
        <v>117</v>
      </c>
      <c r="I18" s="7" t="s">
        <v>117</v>
      </c>
      <c r="J18" s="7" t="s">
        <v>117</v>
      </c>
      <c r="K18" s="7" t="s">
        <v>117</v>
      </c>
      <c r="L18" s="7" t="s">
        <v>117</v>
      </c>
      <c r="M18" s="7" t="s">
        <v>120</v>
      </c>
      <c r="N18" s="7" t="s">
        <v>117</v>
      </c>
      <c r="O18" s="16">
        <v>46286</v>
      </c>
      <c r="P18" s="15"/>
    </row>
    <row r="19" spans="1:16" ht="15" customHeight="1">
      <c r="A19" s="7" t="s">
        <v>187</v>
      </c>
      <c r="B19" s="7" t="s">
        <v>188</v>
      </c>
      <c r="C19" s="15" t="s">
        <v>125</v>
      </c>
      <c r="D19" s="7" t="s">
        <v>189</v>
      </c>
      <c r="E19" s="15" t="s">
        <v>127</v>
      </c>
      <c r="F19" s="7" t="s">
        <v>117</v>
      </c>
      <c r="G19" s="7" t="s">
        <v>117</v>
      </c>
      <c r="H19" s="7" t="s">
        <v>117</v>
      </c>
      <c r="I19" s="7" t="s">
        <v>117</v>
      </c>
      <c r="J19" s="7" t="s">
        <v>117</v>
      </c>
      <c r="K19" s="7" t="s">
        <v>117</v>
      </c>
      <c r="L19" s="7" t="s">
        <v>190</v>
      </c>
      <c r="M19" s="7" t="s">
        <v>120</v>
      </c>
      <c r="N19" s="7" t="s">
        <v>117</v>
      </c>
      <c r="O19" s="16">
        <v>46286</v>
      </c>
      <c r="P19" s="15"/>
    </row>
    <row r="20" spans="1:16" ht="15" customHeight="1">
      <c r="A20" s="7" t="s">
        <v>191</v>
      </c>
      <c r="B20" s="7" t="s">
        <v>192</v>
      </c>
      <c r="C20" s="15" t="s">
        <v>157</v>
      </c>
      <c r="D20" s="7" t="s">
        <v>193</v>
      </c>
      <c r="E20" s="15" t="s">
        <v>194</v>
      </c>
      <c r="F20" s="7" t="s">
        <v>117</v>
      </c>
      <c r="G20" s="7" t="s">
        <v>117</v>
      </c>
      <c r="H20" s="7" t="s">
        <v>117</v>
      </c>
      <c r="I20" s="7" t="s">
        <v>195</v>
      </c>
      <c r="J20" s="7" t="s">
        <v>117</v>
      </c>
      <c r="K20" s="7" t="s">
        <v>117</v>
      </c>
      <c r="L20" s="7" t="s">
        <v>117</v>
      </c>
      <c r="M20" s="7" t="s">
        <v>120</v>
      </c>
      <c r="N20" s="7" t="s">
        <v>117</v>
      </c>
      <c r="O20" s="16">
        <v>46286</v>
      </c>
      <c r="P20" s="15"/>
    </row>
    <row r="21" spans="1:16" ht="15" customHeight="1">
      <c r="A21" s="7" t="s">
        <v>196</v>
      </c>
      <c r="B21" s="7" t="s">
        <v>197</v>
      </c>
      <c r="C21" s="15" t="s">
        <v>157</v>
      </c>
      <c r="D21" s="7" t="s">
        <v>198</v>
      </c>
      <c r="E21" s="15" t="s">
        <v>199</v>
      </c>
      <c r="F21" s="7" t="s">
        <v>117</v>
      </c>
      <c r="G21" s="7" t="s">
        <v>117</v>
      </c>
      <c r="H21" s="7" t="s">
        <v>117</v>
      </c>
      <c r="I21" s="7" t="s">
        <v>117</v>
      </c>
      <c r="J21" s="7" t="s">
        <v>117</v>
      </c>
      <c r="K21" s="7" t="s">
        <v>117</v>
      </c>
      <c r="L21" s="7" t="s">
        <v>200</v>
      </c>
      <c r="M21" s="7" t="s">
        <v>120</v>
      </c>
      <c r="N21" s="7" t="s">
        <v>117</v>
      </c>
      <c r="O21" s="16">
        <v>46286</v>
      </c>
      <c r="P21" s="15"/>
    </row>
    <row r="22" spans="1:16" ht="15" customHeight="1">
      <c r="A22" s="7" t="s">
        <v>201</v>
      </c>
      <c r="B22" s="7" t="s">
        <v>202</v>
      </c>
      <c r="C22" s="15" t="s">
        <v>203</v>
      </c>
      <c r="D22" s="7" t="s">
        <v>204</v>
      </c>
      <c r="E22" s="15" t="s">
        <v>205</v>
      </c>
      <c r="F22" s="7" t="s">
        <v>117</v>
      </c>
      <c r="G22" s="7" t="s">
        <v>117</v>
      </c>
      <c r="H22" s="7" t="s">
        <v>206</v>
      </c>
      <c r="I22" s="7" t="s">
        <v>117</v>
      </c>
      <c r="J22" s="7" t="s">
        <v>207</v>
      </c>
      <c r="K22" s="7" t="s">
        <v>208</v>
      </c>
      <c r="L22" s="7" t="s">
        <v>209</v>
      </c>
      <c r="M22" s="7" t="s">
        <v>120</v>
      </c>
      <c r="N22" s="7" t="s">
        <v>117</v>
      </c>
      <c r="O22" s="16">
        <v>46286</v>
      </c>
      <c r="P22" s="15"/>
    </row>
    <row r="23" spans="1:16" ht="15" customHeight="1">
      <c r="A23" s="7" t="s">
        <v>210</v>
      </c>
      <c r="B23" s="24" t="s">
        <v>211</v>
      </c>
      <c r="C23" s="15" t="s">
        <v>203</v>
      </c>
      <c r="D23" s="7" t="s">
        <v>212</v>
      </c>
      <c r="E23" s="15" t="s">
        <v>127</v>
      </c>
      <c r="F23" s="7" t="s">
        <v>117</v>
      </c>
      <c r="G23" s="7" t="s">
        <v>117</v>
      </c>
      <c r="H23" s="7" t="s">
        <v>117</v>
      </c>
      <c r="I23" s="7" t="s">
        <v>117</v>
      </c>
      <c r="J23" s="7" t="s">
        <v>117</v>
      </c>
      <c r="K23" s="7" t="s">
        <v>117</v>
      </c>
      <c r="L23" s="7" t="s">
        <v>213</v>
      </c>
      <c r="M23" s="7" t="s">
        <v>120</v>
      </c>
      <c r="N23" s="7" t="s">
        <v>117</v>
      </c>
      <c r="O23" s="16">
        <v>46286</v>
      </c>
      <c r="P23" s="15" t="s">
        <v>122</v>
      </c>
    </row>
    <row r="24" spans="1:16" ht="15" customHeight="1">
      <c r="A24" s="7" t="s">
        <v>214</v>
      </c>
      <c r="B24" s="7" t="s">
        <v>215</v>
      </c>
      <c r="C24" s="15" t="s">
        <v>203</v>
      </c>
      <c r="D24" s="7" t="s">
        <v>216</v>
      </c>
      <c r="E24" s="15" t="s">
        <v>127</v>
      </c>
      <c r="F24" s="7" t="s">
        <v>117</v>
      </c>
      <c r="G24" s="7" t="s">
        <v>117</v>
      </c>
      <c r="H24" s="7" t="s">
        <v>117</v>
      </c>
      <c r="I24" s="7" t="s">
        <v>117</v>
      </c>
      <c r="J24" s="7" t="s">
        <v>117</v>
      </c>
      <c r="K24" s="7" t="s">
        <v>117</v>
      </c>
      <c r="L24" s="7" t="s">
        <v>217</v>
      </c>
      <c r="M24" s="7" t="s">
        <v>120</v>
      </c>
      <c r="N24" s="7" t="s">
        <v>117</v>
      </c>
      <c r="O24" s="16">
        <v>46286</v>
      </c>
      <c r="P24" s="15"/>
    </row>
    <row r="25" spans="1:16" ht="15" customHeight="1">
      <c r="A25" s="7" t="s">
        <v>218</v>
      </c>
      <c r="B25" s="7" t="s">
        <v>219</v>
      </c>
      <c r="C25" s="15" t="s">
        <v>125</v>
      </c>
      <c r="D25" s="7" t="s">
        <v>220</v>
      </c>
      <c r="E25" s="15" t="s">
        <v>115</v>
      </c>
      <c r="F25" s="7" t="s">
        <v>117</v>
      </c>
      <c r="G25" s="7" t="s">
        <v>117</v>
      </c>
      <c r="H25" s="7" t="s">
        <v>117</v>
      </c>
      <c r="I25" s="7" t="s">
        <v>117</v>
      </c>
      <c r="J25" s="7" t="s">
        <v>221</v>
      </c>
      <c r="K25" s="7" t="s">
        <v>222</v>
      </c>
      <c r="L25" s="7" t="s">
        <v>117</v>
      </c>
      <c r="M25" s="7" t="s">
        <v>120</v>
      </c>
      <c r="N25" s="7" t="s">
        <v>117</v>
      </c>
      <c r="O25" s="16">
        <v>46286</v>
      </c>
      <c r="P25" s="15"/>
    </row>
    <row r="26" spans="1:16" ht="15" customHeight="1">
      <c r="A26" s="7" t="s">
        <v>223</v>
      </c>
      <c r="B26" s="7" t="s">
        <v>224</v>
      </c>
      <c r="C26" s="15" t="s">
        <v>113</v>
      </c>
      <c r="D26" s="7" t="s">
        <v>225</v>
      </c>
      <c r="E26" s="15" t="s">
        <v>127</v>
      </c>
      <c r="F26" s="7" t="s">
        <v>226</v>
      </c>
      <c r="G26" s="7" t="s">
        <v>227</v>
      </c>
      <c r="H26" s="7" t="s">
        <v>228</v>
      </c>
      <c r="I26" s="7" t="s">
        <v>117</v>
      </c>
      <c r="J26" s="7" t="s">
        <v>117</v>
      </c>
      <c r="K26" s="7" t="s">
        <v>117</v>
      </c>
      <c r="L26" s="7" t="s">
        <v>229</v>
      </c>
      <c r="M26" s="7" t="s">
        <v>120</v>
      </c>
      <c r="N26" s="7" t="s">
        <v>117</v>
      </c>
      <c r="O26" s="16">
        <v>46286</v>
      </c>
      <c r="P26" s="15"/>
    </row>
    <row r="27" spans="1:16" ht="15" customHeight="1">
      <c r="A27" s="7" t="s">
        <v>230</v>
      </c>
      <c r="B27" s="24" t="s">
        <v>231</v>
      </c>
      <c r="C27" s="15" t="s">
        <v>113</v>
      </c>
      <c r="D27" s="7" t="s">
        <v>232</v>
      </c>
      <c r="E27" s="15" t="s">
        <v>127</v>
      </c>
      <c r="F27" s="7" t="s">
        <v>117</v>
      </c>
      <c r="G27" s="7" t="s">
        <v>233</v>
      </c>
      <c r="H27" s="7" t="s">
        <v>234</v>
      </c>
      <c r="I27" s="7" t="s">
        <v>235</v>
      </c>
      <c r="J27" s="7" t="s">
        <v>117</v>
      </c>
      <c r="K27" s="7" t="s">
        <v>117</v>
      </c>
      <c r="L27" s="7" t="s">
        <v>236</v>
      </c>
      <c r="M27" s="7" t="s">
        <v>120</v>
      </c>
      <c r="N27" s="7" t="s">
        <v>117</v>
      </c>
      <c r="O27" s="16">
        <v>46286</v>
      </c>
      <c r="P27" s="15" t="s">
        <v>122</v>
      </c>
    </row>
    <row r="28" spans="1:16" ht="15" customHeight="1">
      <c r="A28" s="7" t="s">
        <v>237</v>
      </c>
      <c r="B28" s="7" t="s">
        <v>238</v>
      </c>
      <c r="C28" s="15" t="s">
        <v>125</v>
      </c>
      <c r="D28" s="7" t="s">
        <v>239</v>
      </c>
      <c r="E28" s="15" t="s">
        <v>127</v>
      </c>
      <c r="F28" s="7" t="s">
        <v>117</v>
      </c>
      <c r="G28" s="7" t="s">
        <v>117</v>
      </c>
      <c r="H28" s="7" t="s">
        <v>117</v>
      </c>
      <c r="I28" s="7" t="s">
        <v>117</v>
      </c>
      <c r="J28" s="7" t="s">
        <v>117</v>
      </c>
      <c r="K28" s="7" t="s">
        <v>117</v>
      </c>
      <c r="L28" s="7" t="s">
        <v>117</v>
      </c>
      <c r="M28" s="7" t="s">
        <v>120</v>
      </c>
      <c r="N28" s="7" t="s">
        <v>117</v>
      </c>
      <c r="O28" s="16">
        <v>46286</v>
      </c>
      <c r="P28" s="15"/>
    </row>
    <row r="29" spans="1:16" ht="15" customHeight="1">
      <c r="A29" s="7" t="s">
        <v>240</v>
      </c>
      <c r="B29" s="7" t="s">
        <v>241</v>
      </c>
      <c r="C29" s="15" t="s">
        <v>125</v>
      </c>
      <c r="D29" s="7" t="s">
        <v>242</v>
      </c>
      <c r="E29" s="15" t="s">
        <v>127</v>
      </c>
      <c r="F29" s="7" t="s">
        <v>117</v>
      </c>
      <c r="G29" s="7" t="s">
        <v>117</v>
      </c>
      <c r="H29" s="7" t="s">
        <v>117</v>
      </c>
      <c r="I29" s="7" t="s">
        <v>117</v>
      </c>
      <c r="J29" s="7" t="s">
        <v>117</v>
      </c>
      <c r="K29" s="7" t="s">
        <v>243</v>
      </c>
      <c r="L29" s="7" t="s">
        <v>244</v>
      </c>
      <c r="M29" s="7" t="s">
        <v>120</v>
      </c>
      <c r="N29" s="7" t="s">
        <v>117</v>
      </c>
      <c r="O29" s="16">
        <v>46286</v>
      </c>
      <c r="P29" s="15"/>
    </row>
    <row r="30" spans="1:16" ht="15" customHeight="1">
      <c r="A30" s="7" t="s">
        <v>245</v>
      </c>
      <c r="B30" s="24" t="s">
        <v>246</v>
      </c>
      <c r="C30" s="15" t="s">
        <v>113</v>
      </c>
      <c r="D30" s="7" t="s">
        <v>247</v>
      </c>
      <c r="E30" s="15" t="s">
        <v>127</v>
      </c>
      <c r="F30" s="7" t="s">
        <v>117</v>
      </c>
      <c r="G30" s="7" t="s">
        <v>248</v>
      </c>
      <c r="H30" s="7" t="s">
        <v>117</v>
      </c>
      <c r="I30" s="7" t="s">
        <v>117</v>
      </c>
      <c r="J30" s="7" t="s">
        <v>117</v>
      </c>
      <c r="K30" s="7" t="s">
        <v>117</v>
      </c>
      <c r="L30" s="7" t="s">
        <v>249</v>
      </c>
      <c r="M30" s="7" t="s">
        <v>120</v>
      </c>
      <c r="N30" s="7" t="s">
        <v>117</v>
      </c>
      <c r="O30" s="16">
        <v>46286</v>
      </c>
      <c r="P30" s="15" t="s">
        <v>122</v>
      </c>
    </row>
    <row r="32" spans="1:16" ht="15" customHeight="1">
      <c r="A32" s="8" t="s">
        <v>250</v>
      </c>
      <c r="B32" s="8">
        <f>COUNTIF(P6:P30,"是")</f>
        <v>7</v>
      </c>
      <c r="C32" s="2" t="s">
        <v>251</v>
      </c>
    </row>
  </sheetData>
  <phoneticPr fontId="12" type="noConversion"/>
  <dataValidations count="3">
    <dataValidation type="list" allowBlank="1" sqref="C6:C30" xr:uid="{00000000-0002-0000-0200-000000000000}">
      <formula1>"家長,學校,義工或企業夥伴,捐款人或資助方,求職者,一般公眾,不清楚"</formula1>
      <formula2>0</formula2>
    </dataValidation>
    <dataValidation type="list" allowBlank="1" sqref="E6:E30" xr:uid="{00000000-0002-0000-0200-000001000000}">
      <formula1>"查詢,報名,捐款,做義工,沒有"</formula1>
      <formula2>0</formula2>
    </dataValidation>
    <dataValidation type="list" allowBlank="1" sqref="P6:P30" xr:uid="{00000000-0002-0000-0200-000002000000}">
      <formula1>"是,否"</formula1>
      <formula2>0</formula2>
    </dataValidation>
  </dataValidations>
  <hyperlinks>
    <hyperlink ref="B6" r:id="rId1" xr:uid="{3EFADCBB-DC98-4A63-9984-9DA6A2870E96}"/>
    <hyperlink ref="B7" r:id="rId2" xr:uid="{3AAD4078-96EC-4522-BA08-F612ECFE8D16}"/>
    <hyperlink ref="B8" r:id="rId3" xr:uid="{E1F78994-512F-4CFF-8377-F4901BE5E8F7}"/>
    <hyperlink ref="B9" r:id="rId4" xr:uid="{35AFAA95-051B-45FF-9944-38CE323BC9E1}"/>
    <hyperlink ref="B23" r:id="rId5" xr:uid="{9FCAED69-4FCB-42D3-B341-7560DF252BE9}"/>
    <hyperlink ref="B30" r:id="rId6" xr:uid="{1994F055-947B-4EC5-80BC-8C5E42FD128A}"/>
    <hyperlink ref="B27" r:id="rId7" xr:uid="{F102C146-DBDA-486D-AFA5-F8DF313BEB9B}"/>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5"/>
  <sheetViews>
    <sheetView showGridLines="0" tabSelected="1" zoomScale="125" zoomScaleNormal="100" workbookViewId="0">
      <pane ySplit="4" topLeftCell="A5" activePane="bottomLeft" state="frozen"/>
      <selection pane="bottomLeft" activeCell="I39" sqref="I39"/>
    </sheetView>
  </sheetViews>
  <sheetFormatPr baseColWidth="10" defaultColWidth="8.6640625" defaultRowHeight="15"/>
  <cols>
    <col min="1" max="1" width="5" customWidth="1"/>
    <col min="2" max="3" width="12" customWidth="1"/>
    <col min="4" max="4" width="50" customWidth="1"/>
    <col min="5" max="5" width="12" customWidth="1"/>
    <col min="6" max="8" width="8" customWidth="1"/>
    <col min="9" max="9" width="18" customWidth="1"/>
    <col min="10" max="10" width="20" customWidth="1"/>
    <col min="11" max="11" width="14" customWidth="1"/>
    <col min="12" max="12" width="18" customWidth="1"/>
  </cols>
  <sheetData>
    <row r="1" spans="1:12" ht="21.5" customHeight="1">
      <c r="A1" s="12" t="s">
        <v>252</v>
      </c>
    </row>
    <row r="2" spans="1:12" ht="15" customHeight="1">
      <c r="A2" s="2" t="s">
        <v>253</v>
      </c>
    </row>
    <row r="4" spans="1:12" ht="44" customHeight="1">
      <c r="A4" s="3" t="s">
        <v>2</v>
      </c>
      <c r="B4" s="4" t="s">
        <v>60</v>
      </c>
      <c r="C4" s="4" t="s">
        <v>254</v>
      </c>
      <c r="D4" s="4" t="s">
        <v>255</v>
      </c>
      <c r="E4" s="4" t="s">
        <v>256</v>
      </c>
      <c r="F4" s="4" t="s">
        <v>257</v>
      </c>
      <c r="G4" s="4" t="s">
        <v>258</v>
      </c>
      <c r="H4" s="4" t="s">
        <v>259</v>
      </c>
      <c r="I4" s="4" t="s">
        <v>260</v>
      </c>
      <c r="J4" s="4" t="s">
        <v>261</v>
      </c>
      <c r="K4" s="4" t="s">
        <v>262</v>
      </c>
      <c r="L4" s="4" t="s">
        <v>263</v>
      </c>
    </row>
    <row r="5" spans="1:12" ht="15" customHeight="1">
      <c r="A5" s="13" t="s">
        <v>264</v>
      </c>
      <c r="B5" s="14" t="s">
        <v>121</v>
      </c>
      <c r="C5" s="14" t="s">
        <v>265</v>
      </c>
      <c r="D5" s="13" t="s">
        <v>266</v>
      </c>
      <c r="E5" s="13" t="s">
        <v>267</v>
      </c>
      <c r="F5" s="13">
        <v>45</v>
      </c>
      <c r="G5" s="13">
        <v>3</v>
      </c>
      <c r="H5" s="13">
        <v>2</v>
      </c>
      <c r="I5" s="13" t="s">
        <v>157</v>
      </c>
      <c r="J5" s="13" t="s">
        <v>268</v>
      </c>
      <c r="K5" s="13" t="s">
        <v>269</v>
      </c>
      <c r="L5" s="13" t="s">
        <v>127</v>
      </c>
    </row>
    <row r="6" spans="1:12" ht="15" customHeight="1">
      <c r="A6" s="5">
        <v>1</v>
      </c>
      <c r="B6" s="16">
        <v>46299</v>
      </c>
      <c r="C6" s="16">
        <v>46298</v>
      </c>
      <c r="D6" s="7" t="s">
        <v>270</v>
      </c>
      <c r="E6" s="15" t="s">
        <v>271</v>
      </c>
      <c r="F6" s="7">
        <v>17</v>
      </c>
      <c r="G6" s="7">
        <v>0</v>
      </c>
      <c r="H6" s="7">
        <v>1</v>
      </c>
      <c r="I6" s="6" t="s">
        <v>125</v>
      </c>
      <c r="J6" s="6" t="s">
        <v>272</v>
      </c>
      <c r="K6" s="6" t="s">
        <v>269</v>
      </c>
      <c r="L6" s="5" t="s">
        <v>127</v>
      </c>
    </row>
    <row r="7" spans="1:12" ht="15" customHeight="1">
      <c r="A7" s="5">
        <v>2</v>
      </c>
      <c r="B7" s="16">
        <v>46299</v>
      </c>
      <c r="C7" s="16">
        <v>46290</v>
      </c>
      <c r="D7" s="7" t="s">
        <v>273</v>
      </c>
      <c r="E7" s="15" t="s">
        <v>271</v>
      </c>
      <c r="F7" s="7">
        <v>7</v>
      </c>
      <c r="G7" s="7">
        <v>0</v>
      </c>
      <c r="H7" s="7">
        <v>1</v>
      </c>
      <c r="I7" s="6" t="s">
        <v>125</v>
      </c>
      <c r="J7" s="6" t="s">
        <v>274</v>
      </c>
      <c r="K7" s="6" t="s">
        <v>269</v>
      </c>
      <c r="L7" s="5" t="s">
        <v>275</v>
      </c>
    </row>
    <row r="8" spans="1:12" ht="15" customHeight="1">
      <c r="A8" s="5">
        <v>3</v>
      </c>
      <c r="B8" s="16">
        <v>46299</v>
      </c>
      <c r="C8" s="16">
        <v>46289</v>
      </c>
      <c r="D8" s="7" t="s">
        <v>276</v>
      </c>
      <c r="E8" s="15" t="s">
        <v>277</v>
      </c>
      <c r="F8" s="7">
        <v>17</v>
      </c>
      <c r="G8" s="7">
        <v>0</v>
      </c>
      <c r="H8" s="7">
        <v>3</v>
      </c>
      <c r="I8" s="6" t="s">
        <v>157</v>
      </c>
      <c r="J8" s="6" t="s">
        <v>278</v>
      </c>
      <c r="K8" s="6" t="s">
        <v>269</v>
      </c>
      <c r="L8" s="5" t="s">
        <v>127</v>
      </c>
    </row>
    <row r="9" spans="1:12" ht="15" customHeight="1">
      <c r="A9" s="5">
        <v>4</v>
      </c>
      <c r="B9" s="16">
        <v>46299</v>
      </c>
      <c r="C9" s="16">
        <v>46288</v>
      </c>
      <c r="D9" s="7" t="s">
        <v>279</v>
      </c>
      <c r="E9" s="15" t="s">
        <v>277</v>
      </c>
      <c r="F9" s="7">
        <v>29</v>
      </c>
      <c r="G9" s="7">
        <v>0</v>
      </c>
      <c r="H9" s="7">
        <v>3</v>
      </c>
      <c r="I9" s="6" t="s">
        <v>125</v>
      </c>
      <c r="J9" s="6" t="s">
        <v>278</v>
      </c>
      <c r="K9" s="6" t="s">
        <v>269</v>
      </c>
      <c r="L9" s="5" t="s">
        <v>280</v>
      </c>
    </row>
    <row r="10" spans="1:12" ht="15" customHeight="1">
      <c r="A10" s="5">
        <v>5</v>
      </c>
      <c r="B10" s="16">
        <v>46299</v>
      </c>
      <c r="C10" s="16">
        <v>46280</v>
      </c>
      <c r="D10" s="7" t="s">
        <v>281</v>
      </c>
      <c r="E10" s="15" t="s">
        <v>282</v>
      </c>
      <c r="F10" s="7">
        <v>11</v>
      </c>
      <c r="G10" s="7">
        <v>0</v>
      </c>
      <c r="H10" s="7">
        <v>0</v>
      </c>
      <c r="I10" s="6" t="s">
        <v>125</v>
      </c>
      <c r="J10" s="6" t="s">
        <v>278</v>
      </c>
      <c r="K10" s="6" t="s">
        <v>269</v>
      </c>
      <c r="L10" s="5" t="s">
        <v>127</v>
      </c>
    </row>
    <row r="11" spans="1:12" ht="15" customHeight="1">
      <c r="A11" s="5">
        <v>6</v>
      </c>
      <c r="B11" s="16">
        <v>46299</v>
      </c>
      <c r="C11" s="16">
        <v>46275</v>
      </c>
      <c r="D11" s="7" t="s">
        <v>283</v>
      </c>
      <c r="E11" s="15" t="s">
        <v>284</v>
      </c>
      <c r="F11" s="7">
        <v>7</v>
      </c>
      <c r="G11" s="7">
        <v>0</v>
      </c>
      <c r="H11" s="7">
        <v>1</v>
      </c>
      <c r="I11" s="6" t="s">
        <v>141</v>
      </c>
      <c r="J11" s="6" t="s">
        <v>274</v>
      </c>
      <c r="K11" s="6" t="s">
        <v>269</v>
      </c>
      <c r="L11" s="5" t="s">
        <v>285</v>
      </c>
    </row>
    <row r="12" spans="1:12" ht="15" customHeight="1">
      <c r="A12" s="5">
        <v>7</v>
      </c>
      <c r="B12" s="16">
        <v>46299</v>
      </c>
      <c r="C12" s="16">
        <v>46272</v>
      </c>
      <c r="D12" s="7" t="s">
        <v>286</v>
      </c>
      <c r="E12" s="15" t="s">
        <v>284</v>
      </c>
      <c r="F12" s="7">
        <v>9</v>
      </c>
      <c r="G12" s="7">
        <v>1</v>
      </c>
      <c r="H12" s="7">
        <v>1</v>
      </c>
      <c r="I12" s="6" t="s">
        <v>113</v>
      </c>
      <c r="J12" s="6" t="s">
        <v>274</v>
      </c>
      <c r="K12" s="6" t="s">
        <v>122</v>
      </c>
      <c r="L12" s="5" t="s">
        <v>287</v>
      </c>
    </row>
    <row r="13" spans="1:12" ht="15" customHeight="1">
      <c r="A13" s="5">
        <v>8</v>
      </c>
      <c r="B13" s="16">
        <v>46299</v>
      </c>
      <c r="C13" s="16">
        <v>46268</v>
      </c>
      <c r="D13" s="7" t="s">
        <v>288</v>
      </c>
      <c r="E13" s="15" t="s">
        <v>289</v>
      </c>
      <c r="F13" s="7">
        <v>15</v>
      </c>
      <c r="G13" s="7">
        <v>0</v>
      </c>
      <c r="H13" s="7">
        <v>1</v>
      </c>
      <c r="I13" s="6" t="s">
        <v>157</v>
      </c>
      <c r="J13" s="6" t="s">
        <v>268</v>
      </c>
      <c r="K13" s="6" t="s">
        <v>269</v>
      </c>
      <c r="L13" s="5" t="s">
        <v>127</v>
      </c>
    </row>
    <row r="14" spans="1:12" ht="15" customHeight="1">
      <c r="A14" s="5">
        <v>9</v>
      </c>
      <c r="B14" s="16">
        <v>46299</v>
      </c>
      <c r="C14" s="16">
        <v>46265</v>
      </c>
      <c r="D14" s="7" t="s">
        <v>290</v>
      </c>
      <c r="E14" s="15" t="s">
        <v>291</v>
      </c>
      <c r="F14" s="7">
        <v>25</v>
      </c>
      <c r="G14" s="7">
        <v>0</v>
      </c>
      <c r="H14" s="7">
        <v>5</v>
      </c>
      <c r="I14" s="6" t="s">
        <v>157</v>
      </c>
      <c r="J14" s="6" t="s">
        <v>272</v>
      </c>
      <c r="K14" s="6" t="s">
        <v>269</v>
      </c>
      <c r="L14" s="5" t="s">
        <v>127</v>
      </c>
    </row>
    <row r="15" spans="1:12" ht="15" customHeight="1">
      <c r="A15" s="5">
        <v>10</v>
      </c>
      <c r="B15" s="16">
        <v>46299</v>
      </c>
      <c r="C15" s="16">
        <v>46259</v>
      </c>
      <c r="D15" s="7" t="s">
        <v>292</v>
      </c>
      <c r="E15" s="15" t="s">
        <v>282</v>
      </c>
      <c r="F15" s="7">
        <v>5</v>
      </c>
      <c r="G15" s="7">
        <v>0</v>
      </c>
      <c r="H15" s="7">
        <v>0</v>
      </c>
      <c r="I15" s="6" t="s">
        <v>125</v>
      </c>
      <c r="J15" s="6" t="s">
        <v>278</v>
      </c>
      <c r="K15" s="6" t="s">
        <v>269</v>
      </c>
      <c r="L15" s="5" t="s">
        <v>127</v>
      </c>
    </row>
    <row r="16" spans="1:12" ht="15" customHeight="1">
      <c r="A16" s="5">
        <v>11</v>
      </c>
      <c r="B16" s="16">
        <v>46299</v>
      </c>
      <c r="C16" s="16">
        <v>46255</v>
      </c>
      <c r="D16" s="7" t="s">
        <v>293</v>
      </c>
      <c r="E16" s="15" t="s">
        <v>284</v>
      </c>
      <c r="F16" s="7">
        <v>9</v>
      </c>
      <c r="G16" s="7">
        <v>0</v>
      </c>
      <c r="H16" s="7">
        <v>1</v>
      </c>
      <c r="I16" s="6" t="s">
        <v>141</v>
      </c>
      <c r="J16" s="6" t="s">
        <v>274</v>
      </c>
      <c r="K16" s="6" t="s">
        <v>269</v>
      </c>
      <c r="L16" s="5" t="s">
        <v>115</v>
      </c>
    </row>
    <row r="17" spans="1:12" ht="15" customHeight="1">
      <c r="A17" s="5">
        <v>12</v>
      </c>
      <c r="B17" s="16">
        <v>46299</v>
      </c>
      <c r="C17" s="16">
        <v>46252</v>
      </c>
      <c r="D17" s="7" t="s">
        <v>294</v>
      </c>
      <c r="E17" s="15" t="s">
        <v>271</v>
      </c>
      <c r="F17" s="7">
        <v>14</v>
      </c>
      <c r="G17" s="7">
        <v>0</v>
      </c>
      <c r="H17" s="7">
        <v>2</v>
      </c>
      <c r="I17" s="6" t="s">
        <v>125</v>
      </c>
      <c r="J17" s="6" t="s">
        <v>278</v>
      </c>
      <c r="K17" s="6" t="s">
        <v>269</v>
      </c>
      <c r="L17" s="5" t="s">
        <v>127</v>
      </c>
    </row>
    <row r="18" spans="1:12" ht="15" customHeight="1">
      <c r="A18" s="5">
        <v>13</v>
      </c>
      <c r="B18" s="16">
        <v>46299</v>
      </c>
      <c r="C18" s="16">
        <v>46247</v>
      </c>
      <c r="D18" s="7" t="s">
        <v>295</v>
      </c>
      <c r="E18" s="15" t="s">
        <v>296</v>
      </c>
      <c r="F18" s="7">
        <v>5</v>
      </c>
      <c r="G18" s="7">
        <v>0</v>
      </c>
      <c r="H18" s="7">
        <v>1</v>
      </c>
      <c r="I18" s="6" t="s">
        <v>141</v>
      </c>
      <c r="J18" s="6" t="s">
        <v>274</v>
      </c>
      <c r="K18" s="6" t="s">
        <v>269</v>
      </c>
      <c r="L18" s="5" t="s">
        <v>287</v>
      </c>
    </row>
    <row r="19" spans="1:12" ht="15" customHeight="1">
      <c r="A19" s="5">
        <v>14</v>
      </c>
      <c r="B19" s="16">
        <v>46299</v>
      </c>
      <c r="C19" s="16">
        <v>46240</v>
      </c>
      <c r="D19" s="7" t="s">
        <v>297</v>
      </c>
      <c r="E19" s="15" t="s">
        <v>267</v>
      </c>
      <c r="F19" s="7">
        <v>5</v>
      </c>
      <c r="G19" s="7">
        <v>0</v>
      </c>
      <c r="H19" s="7">
        <v>2</v>
      </c>
      <c r="I19" s="6" t="s">
        <v>125</v>
      </c>
      <c r="J19" s="6" t="s">
        <v>272</v>
      </c>
      <c r="K19" s="6" t="s">
        <v>269</v>
      </c>
      <c r="L19" s="5" t="s">
        <v>127</v>
      </c>
    </row>
    <row r="20" spans="1:12" ht="15" customHeight="1">
      <c r="A20" s="5">
        <v>15</v>
      </c>
      <c r="B20" s="16">
        <v>46299</v>
      </c>
      <c r="C20" s="16">
        <v>46234</v>
      </c>
      <c r="D20" s="7" t="s">
        <v>298</v>
      </c>
      <c r="E20" s="15" t="s">
        <v>299</v>
      </c>
      <c r="F20" s="7">
        <v>21</v>
      </c>
      <c r="G20" s="7">
        <v>0</v>
      </c>
      <c r="H20" s="7">
        <v>1</v>
      </c>
      <c r="I20" s="6" t="s">
        <v>125</v>
      </c>
      <c r="J20" s="6" t="s">
        <v>272</v>
      </c>
      <c r="K20" s="6" t="s">
        <v>269</v>
      </c>
      <c r="L20" s="5" t="s">
        <v>127</v>
      </c>
    </row>
    <row r="21" spans="1:12" ht="15" customHeight="1">
      <c r="A21" s="5">
        <v>16</v>
      </c>
      <c r="B21" s="16">
        <v>46299</v>
      </c>
      <c r="C21" s="16">
        <v>46231</v>
      </c>
      <c r="D21" s="7" t="s">
        <v>300</v>
      </c>
      <c r="E21" s="15" t="s">
        <v>267</v>
      </c>
      <c r="F21" s="7">
        <v>5</v>
      </c>
      <c r="G21" s="7">
        <v>0</v>
      </c>
      <c r="H21" s="7">
        <v>1</v>
      </c>
      <c r="I21" s="6" t="s">
        <v>125</v>
      </c>
      <c r="J21" s="6" t="s">
        <v>272</v>
      </c>
      <c r="K21" s="6" t="s">
        <v>269</v>
      </c>
      <c r="L21" s="5" t="s">
        <v>127</v>
      </c>
    </row>
    <row r="22" spans="1:12" ht="15" customHeight="1">
      <c r="A22" s="5">
        <v>17</v>
      </c>
      <c r="B22" s="16">
        <v>46299</v>
      </c>
      <c r="C22" s="16">
        <v>46226</v>
      </c>
      <c r="D22" s="7" t="s">
        <v>301</v>
      </c>
      <c r="E22" s="15" t="s">
        <v>296</v>
      </c>
      <c r="F22" s="7">
        <v>13</v>
      </c>
      <c r="G22" s="7">
        <v>0</v>
      </c>
      <c r="H22" s="7">
        <v>1</v>
      </c>
      <c r="I22" s="6" t="s">
        <v>157</v>
      </c>
      <c r="J22" s="6" t="s">
        <v>278</v>
      </c>
      <c r="K22" s="6" t="s">
        <v>269</v>
      </c>
      <c r="L22" s="5" t="s">
        <v>127</v>
      </c>
    </row>
    <row r="23" spans="1:12" ht="15" customHeight="1">
      <c r="A23" s="5">
        <v>18</v>
      </c>
      <c r="B23" s="16">
        <v>46299</v>
      </c>
      <c r="C23" s="16">
        <v>46224</v>
      </c>
      <c r="D23" s="7" t="s">
        <v>302</v>
      </c>
      <c r="E23" s="15" t="s">
        <v>284</v>
      </c>
      <c r="F23" s="7">
        <v>7</v>
      </c>
      <c r="G23" s="7">
        <v>0</v>
      </c>
      <c r="H23" s="7">
        <v>10</v>
      </c>
      <c r="I23" s="6" t="s">
        <v>113</v>
      </c>
      <c r="J23" s="6" t="s">
        <v>274</v>
      </c>
      <c r="K23" s="6" t="s">
        <v>269</v>
      </c>
      <c r="L23" s="5" t="s">
        <v>285</v>
      </c>
    </row>
    <row r="24" spans="1:12" ht="15" customHeight="1">
      <c r="A24" s="5">
        <v>19</v>
      </c>
      <c r="B24" s="16">
        <v>46299</v>
      </c>
      <c r="C24" s="16">
        <v>46219</v>
      </c>
      <c r="D24" s="7" t="s">
        <v>303</v>
      </c>
      <c r="E24" s="15" t="s">
        <v>304</v>
      </c>
      <c r="F24" s="7">
        <v>12</v>
      </c>
      <c r="G24" s="7">
        <v>0</v>
      </c>
      <c r="H24" s="7">
        <v>2</v>
      </c>
      <c r="I24" s="6" t="s">
        <v>157</v>
      </c>
      <c r="J24" s="6" t="s">
        <v>278</v>
      </c>
      <c r="K24" s="6" t="s">
        <v>269</v>
      </c>
      <c r="L24" s="5" t="s">
        <v>127</v>
      </c>
    </row>
    <row r="25" spans="1:12" ht="15" customHeight="1">
      <c r="A25" s="5">
        <v>20</v>
      </c>
      <c r="B25" s="16">
        <v>46299</v>
      </c>
      <c r="C25" s="16">
        <v>46217</v>
      </c>
      <c r="D25" s="7" t="s">
        <v>305</v>
      </c>
      <c r="E25" s="15" t="s">
        <v>284</v>
      </c>
      <c r="F25" s="7">
        <v>13</v>
      </c>
      <c r="G25" s="7">
        <v>0</v>
      </c>
      <c r="H25" s="7">
        <v>1</v>
      </c>
      <c r="I25" s="6" t="s">
        <v>203</v>
      </c>
      <c r="J25" s="6" t="s">
        <v>268</v>
      </c>
      <c r="K25" s="6" t="s">
        <v>269</v>
      </c>
      <c r="L25" s="5" t="s">
        <v>127</v>
      </c>
    </row>
    <row r="26" spans="1:12" ht="15" customHeight="1">
      <c r="A26" s="5">
        <v>21</v>
      </c>
      <c r="B26" s="16">
        <v>46299</v>
      </c>
      <c r="C26" s="16">
        <v>46212</v>
      </c>
      <c r="D26" s="7" t="s">
        <v>306</v>
      </c>
      <c r="E26" s="15" t="s">
        <v>299</v>
      </c>
      <c r="F26" s="7">
        <v>7</v>
      </c>
      <c r="G26" s="7">
        <v>0</v>
      </c>
      <c r="H26" s="7">
        <v>1</v>
      </c>
      <c r="I26" s="6" t="s">
        <v>157</v>
      </c>
      <c r="J26" s="6" t="s">
        <v>278</v>
      </c>
      <c r="K26" s="6" t="s">
        <v>269</v>
      </c>
      <c r="L26" s="5" t="s">
        <v>127</v>
      </c>
    </row>
    <row r="27" spans="1:12" ht="15" customHeight="1">
      <c r="A27" s="5">
        <v>22</v>
      </c>
      <c r="B27" s="16">
        <v>46299</v>
      </c>
      <c r="C27" s="16">
        <v>46209</v>
      </c>
      <c r="D27" s="7" t="s">
        <v>307</v>
      </c>
      <c r="E27" s="15" t="s">
        <v>284</v>
      </c>
      <c r="F27" s="7">
        <v>40</v>
      </c>
      <c r="G27" s="7">
        <v>0</v>
      </c>
      <c r="H27" s="7">
        <v>17</v>
      </c>
      <c r="I27" s="6" t="s">
        <v>113</v>
      </c>
      <c r="J27" s="6" t="s">
        <v>274</v>
      </c>
      <c r="K27" s="6" t="s">
        <v>269</v>
      </c>
      <c r="L27" s="5" t="s">
        <v>285</v>
      </c>
    </row>
    <row r="28" spans="1:12" ht="15" customHeight="1">
      <c r="A28" s="5">
        <v>23</v>
      </c>
      <c r="B28" s="16">
        <v>46299</v>
      </c>
      <c r="C28" s="16">
        <v>46205</v>
      </c>
      <c r="D28" s="7" t="s">
        <v>308</v>
      </c>
      <c r="E28" s="15" t="s">
        <v>299</v>
      </c>
      <c r="F28" s="7">
        <v>16</v>
      </c>
      <c r="G28" s="7">
        <v>1</v>
      </c>
      <c r="H28" s="7">
        <v>1</v>
      </c>
      <c r="I28" s="6" t="s">
        <v>157</v>
      </c>
      <c r="J28" s="6" t="s">
        <v>268</v>
      </c>
      <c r="K28" s="6" t="s">
        <v>269</v>
      </c>
      <c r="L28" s="5" t="s">
        <v>127</v>
      </c>
    </row>
    <row r="29" spans="1:12" ht="15" customHeight="1">
      <c r="A29" s="5">
        <v>24</v>
      </c>
      <c r="B29" s="16">
        <v>46299</v>
      </c>
      <c r="C29" s="16">
        <v>46203</v>
      </c>
      <c r="D29" s="7" t="s">
        <v>309</v>
      </c>
      <c r="E29" s="15" t="s">
        <v>296</v>
      </c>
      <c r="F29" s="7">
        <v>12</v>
      </c>
      <c r="G29" s="7">
        <v>0</v>
      </c>
      <c r="H29" s="7">
        <v>1</v>
      </c>
      <c r="I29" s="6" t="s">
        <v>125</v>
      </c>
      <c r="J29" s="6" t="s">
        <v>272</v>
      </c>
      <c r="K29" s="6" t="s">
        <v>269</v>
      </c>
      <c r="L29" s="5" t="s">
        <v>127</v>
      </c>
    </row>
    <row r="30" spans="1:12" ht="15" customHeight="1">
      <c r="A30" s="5">
        <v>25</v>
      </c>
      <c r="B30" s="16">
        <v>46299</v>
      </c>
      <c r="C30" s="16">
        <v>46199</v>
      </c>
      <c r="D30" s="7" t="s">
        <v>310</v>
      </c>
      <c r="E30" s="15" t="s">
        <v>271</v>
      </c>
      <c r="F30" s="7">
        <v>26</v>
      </c>
      <c r="G30" s="7">
        <v>2</v>
      </c>
      <c r="H30" s="7">
        <v>2</v>
      </c>
      <c r="I30" s="6" t="s">
        <v>125</v>
      </c>
      <c r="J30" s="6" t="s">
        <v>278</v>
      </c>
      <c r="K30" s="6" t="s">
        <v>269</v>
      </c>
      <c r="L30" s="5" t="s">
        <v>127</v>
      </c>
    </row>
    <row r="31" spans="1:12" ht="15" customHeight="1">
      <c r="A31" s="5">
        <v>26</v>
      </c>
      <c r="B31" s="16">
        <v>46299</v>
      </c>
      <c r="C31" s="16">
        <v>46198</v>
      </c>
      <c r="D31" s="7" t="s">
        <v>311</v>
      </c>
      <c r="E31" s="15" t="s">
        <v>304</v>
      </c>
      <c r="F31" s="7">
        <v>28</v>
      </c>
      <c r="G31" s="7">
        <v>2</v>
      </c>
      <c r="H31" s="7">
        <v>8</v>
      </c>
      <c r="I31" s="6" t="s">
        <v>125</v>
      </c>
      <c r="J31" s="6" t="s">
        <v>278</v>
      </c>
      <c r="K31" s="6" t="s">
        <v>269</v>
      </c>
      <c r="L31" s="5" t="s">
        <v>127</v>
      </c>
    </row>
    <row r="32" spans="1:12" ht="15" customHeight="1">
      <c r="A32" s="5">
        <v>27</v>
      </c>
      <c r="B32" s="16">
        <v>46299</v>
      </c>
      <c r="C32" s="16">
        <v>46189</v>
      </c>
      <c r="D32" s="7" t="s">
        <v>312</v>
      </c>
      <c r="E32" s="15" t="s">
        <v>282</v>
      </c>
      <c r="F32" s="7">
        <v>16</v>
      </c>
      <c r="G32" s="7">
        <v>2</v>
      </c>
      <c r="H32" s="7">
        <v>4</v>
      </c>
      <c r="I32" s="6" t="s">
        <v>125</v>
      </c>
      <c r="J32" s="6" t="s">
        <v>278</v>
      </c>
      <c r="K32" s="6" t="s">
        <v>269</v>
      </c>
      <c r="L32" s="5" t="s">
        <v>127</v>
      </c>
    </row>
    <row r="33" spans="1:12" ht="15" customHeight="1">
      <c r="A33" s="5">
        <v>28</v>
      </c>
      <c r="B33" s="16">
        <v>46299</v>
      </c>
      <c r="C33" s="16">
        <v>46185</v>
      </c>
      <c r="D33" s="7" t="s">
        <v>313</v>
      </c>
      <c r="E33" s="15" t="s">
        <v>314</v>
      </c>
      <c r="F33" s="7">
        <v>16</v>
      </c>
      <c r="G33" s="7">
        <v>0</v>
      </c>
      <c r="H33" s="7">
        <v>4</v>
      </c>
      <c r="I33" s="6" t="s">
        <v>125</v>
      </c>
      <c r="J33" s="6" t="s">
        <v>274</v>
      </c>
      <c r="K33" s="6" t="s">
        <v>269</v>
      </c>
      <c r="L33" s="5" t="s">
        <v>315</v>
      </c>
    </row>
    <row r="34" spans="1:12" ht="15" customHeight="1">
      <c r="A34" s="5">
        <v>29</v>
      </c>
      <c r="B34" s="16">
        <v>46299</v>
      </c>
      <c r="C34" s="16">
        <v>46183</v>
      </c>
      <c r="D34" s="7" t="s">
        <v>316</v>
      </c>
      <c r="E34" s="15" t="s">
        <v>304</v>
      </c>
      <c r="F34" s="7">
        <v>17</v>
      </c>
      <c r="G34" s="7">
        <v>0</v>
      </c>
      <c r="H34" s="7">
        <v>2</v>
      </c>
      <c r="I34" s="6" t="s">
        <v>125</v>
      </c>
      <c r="J34" s="6" t="s">
        <v>278</v>
      </c>
      <c r="K34" s="6" t="s">
        <v>269</v>
      </c>
      <c r="L34" s="5" t="s">
        <v>127</v>
      </c>
    </row>
    <row r="35" spans="1:12" ht="15" customHeight="1">
      <c r="A35" s="5">
        <v>30</v>
      </c>
      <c r="B35" s="16">
        <v>46299</v>
      </c>
      <c r="C35" s="16">
        <v>46177</v>
      </c>
      <c r="D35" s="7" t="s">
        <v>317</v>
      </c>
      <c r="E35" s="15" t="s">
        <v>277</v>
      </c>
      <c r="F35" s="7">
        <v>7</v>
      </c>
      <c r="G35" s="7">
        <v>0</v>
      </c>
      <c r="H35" s="7">
        <v>1</v>
      </c>
      <c r="I35" s="6" t="s">
        <v>125</v>
      </c>
      <c r="J35" s="6" t="s">
        <v>278</v>
      </c>
      <c r="K35" s="6" t="s">
        <v>269</v>
      </c>
      <c r="L35" s="5" t="s">
        <v>127</v>
      </c>
    </row>
    <row r="37" spans="1:12" ht="15" customHeight="1">
      <c r="D37" s="8" t="s">
        <v>318</v>
      </c>
    </row>
    <row r="38" spans="1:12" ht="15" customHeight="1">
      <c r="D38" s="11" t="s">
        <v>319</v>
      </c>
      <c r="E38" s="8">
        <f>COUNTA(D6:D35)</f>
        <v>30</v>
      </c>
    </row>
    <row r="39" spans="1:12" ht="15" customHeight="1">
      <c r="D39" s="11" t="s">
        <v>320</v>
      </c>
      <c r="E39" s="8">
        <f>IFERROR(AVERAGE(F6:F35),"-")</f>
        <v>14.366666666666667</v>
      </c>
    </row>
    <row r="40" spans="1:12" ht="15" customHeight="1">
      <c r="D40" s="11" t="s">
        <v>321</v>
      </c>
      <c r="E40" s="8">
        <f>COUNTIF(I6:I35,"家長")</f>
        <v>3</v>
      </c>
    </row>
    <row r="41" spans="1:12" ht="15" customHeight="1">
      <c r="D41" s="11" t="s">
        <v>322</v>
      </c>
      <c r="E41" s="8">
        <f>COUNTIF(I6:I35,"學校")</f>
        <v>3</v>
      </c>
    </row>
    <row r="42" spans="1:12" ht="15" customHeight="1">
      <c r="D42" s="11" t="s">
        <v>323</v>
      </c>
      <c r="E42" s="8">
        <f>COUNTIF(I6:I35,"義工或企業夥伴")</f>
        <v>7</v>
      </c>
    </row>
    <row r="43" spans="1:12" ht="15" customHeight="1">
      <c r="D43" s="11" t="s">
        <v>324</v>
      </c>
      <c r="E43" s="8">
        <f>COUNTIF(I6:I35,"捐款人或資助方")</f>
        <v>1</v>
      </c>
    </row>
    <row r="44" spans="1:12" ht="15" customHeight="1">
      <c r="D44" s="11" t="s">
        <v>325</v>
      </c>
      <c r="E44" s="8">
        <f>COUNTIF(I6:I35,"一般公眾")</f>
        <v>16</v>
      </c>
    </row>
    <row r="45" spans="1:12" ht="15" customHeight="1">
      <c r="D45" s="11" t="s">
        <v>326</v>
      </c>
      <c r="E45" s="8">
        <f>COUNTIF(K6:K35,"是")</f>
        <v>1</v>
      </c>
    </row>
  </sheetData>
  <phoneticPr fontId="12" type="noConversion"/>
  <dataValidations count="4">
    <dataValidation type="list" allowBlank="1" sqref="E6:E35" xr:uid="{00000000-0002-0000-0300-000000000000}">
      <formula1>"圖片,影片,連結,純文字"</formula1>
      <formula2>0</formula2>
    </dataValidation>
    <dataValidation type="list" allowBlank="1" sqref="I6:I35" xr:uid="{00000000-0002-0000-0300-000001000000}">
      <formula1>"家長,學校,義工或企業夥伴,捐款人或資助方,一般公眾"</formula1>
      <formula2>0</formula2>
    </dataValidation>
    <dataValidation type="list" allowBlank="1" sqref="J6:J35" xr:uid="{00000000-0002-0000-0300-000002000000}">
      <formula1>"活動宣傳,活動報道,感謝伙伴或贊助商,招募義工,倡導,其他"</formula1>
      <formula2>0</formula2>
    </dataValidation>
    <dataValidation type="list" allowBlank="1" sqref="K6:K35" xr:uid="{00000000-0002-0000-0300-000003000000}">
      <formula1>"是,否"</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showGridLines="0" zoomScale="125" zoomScaleNormal="100" workbookViewId="0">
      <pane ySplit="4" topLeftCell="A5" activePane="bottomLeft" state="frozen"/>
      <selection pane="bottomLeft" activeCell="D12" sqref="D12"/>
    </sheetView>
  </sheetViews>
  <sheetFormatPr baseColWidth="10" defaultColWidth="8.6640625" defaultRowHeight="15"/>
  <cols>
    <col min="1" max="1" width="5" customWidth="1"/>
    <col min="2" max="2" width="14" customWidth="1"/>
    <col min="3" max="3" width="46" customWidth="1"/>
    <col min="4" max="4" width="104.5" customWidth="1"/>
    <col min="5" max="5" width="54.1640625" customWidth="1"/>
  </cols>
  <sheetData>
    <row r="1" spans="1:5" ht="21.5" customHeight="1">
      <c r="A1" s="1" t="s">
        <v>327</v>
      </c>
    </row>
    <row r="2" spans="1:5" ht="15" customHeight="1">
      <c r="A2" s="2" t="s">
        <v>328</v>
      </c>
    </row>
    <row r="4" spans="1:5" ht="15" customHeight="1">
      <c r="A4" s="3" t="s">
        <v>2</v>
      </c>
      <c r="B4" s="4" t="s">
        <v>329</v>
      </c>
      <c r="C4" s="4" t="s">
        <v>330</v>
      </c>
      <c r="D4" s="4" t="s">
        <v>331</v>
      </c>
      <c r="E4" s="4" t="s">
        <v>332</v>
      </c>
    </row>
    <row r="5" spans="1:5" ht="124" customHeight="1">
      <c r="A5" s="6" t="s">
        <v>62</v>
      </c>
      <c r="B5" s="5" t="s">
        <v>64</v>
      </c>
      <c r="C5" s="5" t="s">
        <v>333</v>
      </c>
      <c r="D5" s="7" t="s">
        <v>334</v>
      </c>
      <c r="E5" s="7" t="s">
        <v>335</v>
      </c>
    </row>
    <row r="6" spans="1:5" ht="168" customHeight="1">
      <c r="A6" s="6" t="s">
        <v>69</v>
      </c>
      <c r="B6" s="5" t="s">
        <v>336</v>
      </c>
      <c r="C6" s="5" t="s">
        <v>337</v>
      </c>
      <c r="D6" s="7" t="s">
        <v>338</v>
      </c>
      <c r="E6" s="7" t="s">
        <v>339</v>
      </c>
    </row>
    <row r="7" spans="1:5" ht="173" customHeight="1">
      <c r="A7" s="6" t="s">
        <v>76</v>
      </c>
      <c r="B7" s="5" t="s">
        <v>340</v>
      </c>
      <c r="C7" s="5" t="s">
        <v>341</v>
      </c>
      <c r="D7" s="7" t="s">
        <v>342</v>
      </c>
      <c r="E7" s="7" t="s">
        <v>343</v>
      </c>
    </row>
  </sheetData>
  <phoneticPr fontId="12"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任務總覽</vt:lpstr>
      <vt:lpstr>網站診斷</vt:lpstr>
      <vt:lpstr>網站頁面表</vt:lpstr>
      <vt:lpstr>Facebook帖子</vt:lpstr>
      <vt:lpstr>三條觀察</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Xiahan YU</cp:lastModifiedBy>
  <cp:revision>0</cp:revision>
  <dcterms:created xsi:type="dcterms:W3CDTF">2026-10-04T05:46:54Z</dcterms:created>
  <dcterms:modified xsi:type="dcterms:W3CDTF">2026-10-09T02:48:39Z</dcterms:modified>
  <cp:category/>
  <cp:contentStatus/>
</cp:coreProperties>
</file>